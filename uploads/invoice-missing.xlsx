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ralis\Eksport Implementasi\20251031\eksport\"/>
    </mc:Choice>
  </mc:AlternateContent>
  <bookViews>
    <workbookView xWindow="0" yWindow="0" windowWidth="28800" windowHeight="12585"/>
  </bookViews>
  <sheets>
    <sheet name="Sales Invoice" sheetId="1" r:id="rId1"/>
    <sheet name="Sheet1" sheetId="2" r:id="rId2"/>
  </sheets>
  <calcPr calcId="152511"/>
  <extLst>
    <ext uri="GoogleSheetsCustomDataVersion2">
      <go:sheetsCustomData xmlns:go="http://customooxmlschemas.google.com/" r:id="rId5" roundtripDataChecksum="+3tdhb27n6lcxkwoX2WchSCFs/LtueZG4Fz2Voav9sk="/>
    </ext>
  </extLst>
</workbook>
</file>

<file path=xl/calcChain.xml><?xml version="1.0" encoding="utf-8"?>
<calcChain xmlns="http://schemas.openxmlformats.org/spreadsheetml/2006/main">
  <c r="C5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4" i="2"/>
</calcChain>
</file>

<file path=xl/sharedStrings.xml><?xml version="1.0" encoding="utf-8"?>
<sst xmlns="http://schemas.openxmlformats.org/spreadsheetml/2006/main" count="1603" uniqueCount="270">
  <si>
    <t>tanggal_invoice</t>
  </si>
  <si>
    <t>nomor_invoice</t>
  </si>
  <si>
    <t>catatan</t>
  </si>
  <si>
    <t>kode_cabang</t>
  </si>
  <si>
    <t>kode_outlet</t>
  </si>
  <si>
    <t>divisi</t>
  </si>
  <si>
    <t>prinsipal_b2b</t>
  </si>
  <si>
    <t>cara_bayar</t>
  </si>
  <si>
    <t>sumber_pesanan</t>
  </si>
  <si>
    <t>kode_rayon</t>
  </si>
  <si>
    <t>nama_salesman</t>
  </si>
  <si>
    <t>pakai_materai</t>
  </si>
  <si>
    <t>total_harga</t>
  </si>
  <si>
    <t>ppn</t>
  </si>
  <si>
    <t>diskon_tunai</t>
  </si>
  <si>
    <t>jenis_transaksi</t>
  </si>
  <si>
    <t>nomor_retur_invoice</t>
  </si>
  <si>
    <t>kode_cabang_penagihan</t>
  </si>
  <si>
    <t>ex: 2025/08/01</t>
  </si>
  <si>
    <t>Freetext</t>
  </si>
  <si>
    <t>ex: Kredit/Tunai</t>
  </si>
  <si>
    <t>ex: Telepon, Salesman, etc</t>
  </si>
  <si>
    <t>ex: Ya/Tidak</t>
  </si>
  <si>
    <t>ex: angka</t>
  </si>
  <si>
    <t>ex: Reguler, Konsinyasi, Tender</t>
  </si>
  <si>
    <t>ex: Kosongkan jika invoice tidak/bukan retur</t>
  </si>
  <si>
    <t>OUTLET</t>
  </si>
  <si>
    <t>SALESMAN</t>
  </si>
  <si>
    <t>05ASB25010683</t>
  </si>
  <si>
    <t/>
  </si>
  <si>
    <t>05</t>
  </si>
  <si>
    <t>060858</t>
  </si>
  <si>
    <t>Pharmacy</t>
  </si>
  <si>
    <t>TIDAK</t>
  </si>
  <si>
    <t>KREDIT</t>
  </si>
  <si>
    <t>LK II</t>
  </si>
  <si>
    <t>M. ANDREA DWI PRATAMA</t>
  </si>
  <si>
    <t>Reguler</t>
  </si>
  <si>
    <t>05ASB25011052</t>
  </si>
  <si>
    <t>070454</t>
  </si>
  <si>
    <t>07ASB24028161</t>
  </si>
  <si>
    <t>07</t>
  </si>
  <si>
    <t>067687</t>
  </si>
  <si>
    <t>DK REG 5</t>
  </si>
  <si>
    <t>SAHRONI</t>
  </si>
  <si>
    <t>07ASB25034438</t>
  </si>
  <si>
    <t>MTI PO 03/11</t>
  </si>
  <si>
    <t>069768</t>
  </si>
  <si>
    <t>11ASB25030322</t>
  </si>
  <si>
    <t>11</t>
  </si>
  <si>
    <t>068196</t>
  </si>
  <si>
    <t>LK VIII</t>
  </si>
  <si>
    <t>ANTIK SUWARNO</t>
  </si>
  <si>
    <t>11ASB25030323</t>
  </si>
  <si>
    <t>017479</t>
  </si>
  <si>
    <t>11ASB25030324</t>
  </si>
  <si>
    <t>067916</t>
  </si>
  <si>
    <t>LK IX</t>
  </si>
  <si>
    <t>DWI SAPTO NUGROHO</t>
  </si>
  <si>
    <t>11ASB25030325</t>
  </si>
  <si>
    <t>067924</t>
  </si>
  <si>
    <t>LK X</t>
  </si>
  <si>
    <t>12ASB25021305</t>
  </si>
  <si>
    <t>12</t>
  </si>
  <si>
    <t>060650</t>
  </si>
  <si>
    <t>LK_VI</t>
  </si>
  <si>
    <t>EKO SUTANTO</t>
  </si>
  <si>
    <t>12ASB25021365</t>
  </si>
  <si>
    <t>25ASB25016530</t>
  </si>
  <si>
    <t>1910019952</t>
  </si>
  <si>
    <t>25</t>
  </si>
  <si>
    <t>071863</t>
  </si>
  <si>
    <t>DK MO+REG</t>
  </si>
  <si>
    <t>LINDA</t>
  </si>
  <si>
    <t>25ASB25017063</t>
  </si>
  <si>
    <t>5251135</t>
  </si>
  <si>
    <t>047079</t>
  </si>
  <si>
    <t>25ASB25017112</t>
  </si>
  <si>
    <t>1910019950</t>
  </si>
  <si>
    <t>25ASB25017124</t>
  </si>
  <si>
    <t xml:space="preserve">00257/AS/01/2025, 00132/AS/01/2025 </t>
  </si>
  <si>
    <t>062437</t>
  </si>
  <si>
    <t>DK PAR I</t>
  </si>
  <si>
    <t>CAHYADI HERLAMBANG</t>
  </si>
  <si>
    <t>25ASB25017125</t>
  </si>
  <si>
    <t xml:space="preserve">00257/AS/01/2025, 0455/TCP/03/2025 </t>
  </si>
  <si>
    <t>25ASB25017150</t>
  </si>
  <si>
    <t xml:space="preserve">0455/TCP/03/2025 </t>
  </si>
  <si>
    <t>25ASB25017193</t>
  </si>
  <si>
    <t xml:space="preserve">20123/AS/10/2025/T </t>
  </si>
  <si>
    <t>25ASB25017210</t>
  </si>
  <si>
    <t>063441/TCF/10/2025 ,1910020124</t>
  </si>
  <si>
    <t>25ASB25017214</t>
  </si>
  <si>
    <t xml:space="preserve">20149/AS/10/2025/T </t>
  </si>
  <si>
    <t>25ASB25017237</t>
  </si>
  <si>
    <t>0003PO25072066</t>
  </si>
  <si>
    <t>034744</t>
  </si>
  <si>
    <t>25ASB25017318</t>
  </si>
  <si>
    <t xml:space="preserve">0731/TCP/07/2025, 00259/AS/01/2025 </t>
  </si>
  <si>
    <t>057010</t>
  </si>
  <si>
    <t>DK PAR II</t>
  </si>
  <si>
    <t>SAMLAWI</t>
  </si>
  <si>
    <t>25ASB25017319</t>
  </si>
  <si>
    <t xml:space="preserve">0731/TCP/07/2025, 00299/AS/01/2025 </t>
  </si>
  <si>
    <t>25ASB25017320</t>
  </si>
  <si>
    <t xml:space="preserve">00259/AS/01/2025 </t>
  </si>
  <si>
    <t>25ASB25017326</t>
  </si>
  <si>
    <t>9919</t>
  </si>
  <si>
    <t>079921</t>
  </si>
  <si>
    <t>25ASB25017341</t>
  </si>
  <si>
    <t xml:space="preserve">0731/TCP/07/2025 </t>
  </si>
  <si>
    <t>25ASB25017342</t>
  </si>
  <si>
    <t>25ASB25017343</t>
  </si>
  <si>
    <t xml:space="preserve">00132/AS/01/2025 </t>
  </si>
  <si>
    <t>25ASB25017344</t>
  </si>
  <si>
    <t xml:space="preserve">0455/TCP/03/2025, 00257/AS/01/2025 </t>
  </si>
  <si>
    <t>25ASB25017358</t>
  </si>
  <si>
    <t xml:space="preserve">00257/AS/01/2025 </t>
  </si>
  <si>
    <t>25ASB25017359</t>
  </si>
  <si>
    <t xml:space="preserve">00299/AS/01/2025 </t>
  </si>
  <si>
    <t>25BSB25001468</t>
  </si>
  <si>
    <t>4200968984</t>
  </si>
  <si>
    <t>Hoslab</t>
  </si>
  <si>
    <t>OFF</t>
  </si>
  <si>
    <t>SIGIT BAYU HERNAWAN</t>
  </si>
  <si>
    <t>25ASB25017396</t>
  </si>
  <si>
    <t xml:space="preserve">20371/AS/10/2025/T </t>
  </si>
  <si>
    <t>25ASB25017439</t>
  </si>
  <si>
    <t>5270399</t>
  </si>
  <si>
    <t>070471</t>
  </si>
  <si>
    <t>25ASB25017488</t>
  </si>
  <si>
    <t>25ASB25017489</t>
  </si>
  <si>
    <t>25ASB25017490</t>
  </si>
  <si>
    <t xml:space="preserve">00299/AS/01/2025, 0731/TCP/07/2025 </t>
  </si>
  <si>
    <t>25ASB25017491</t>
  </si>
  <si>
    <t>25ASB25017588</t>
  </si>
  <si>
    <t>27ASB25018473</t>
  </si>
  <si>
    <t>00249/AS/01/2025</t>
  </si>
  <si>
    <t>27</t>
  </si>
  <si>
    <t>064539</t>
  </si>
  <si>
    <t>EMAIL</t>
  </si>
  <si>
    <t>DISTA AFFAN</t>
  </si>
  <si>
    <t>27ASB25018758</t>
  </si>
  <si>
    <t>00303/AS/01/2025</t>
  </si>
  <si>
    <t>27ASB25018759</t>
  </si>
  <si>
    <t>02858/AS/05/2025</t>
  </si>
  <si>
    <t>27ASB25018760</t>
  </si>
  <si>
    <t>00572/AS/02/2025</t>
  </si>
  <si>
    <t>27ASB25018761</t>
  </si>
  <si>
    <t>01074/AS/02/2025</t>
  </si>
  <si>
    <t>27ASB25018763</t>
  </si>
  <si>
    <t>27ASB25018764</t>
  </si>
  <si>
    <t>27ASB25018765</t>
  </si>
  <si>
    <t>0038/TCP/01/2025</t>
  </si>
  <si>
    <t>27ASB25018767</t>
  </si>
  <si>
    <t>27ASB25018901</t>
  </si>
  <si>
    <t>19892/AS/10/2025/T</t>
  </si>
  <si>
    <t>27ASB25018912</t>
  </si>
  <si>
    <t xml:space="preserve">5251134 </t>
  </si>
  <si>
    <t>066764</t>
  </si>
  <si>
    <t>VACANT</t>
  </si>
  <si>
    <t>27ASB25018981</t>
  </si>
  <si>
    <t>27ASB25018982</t>
  </si>
  <si>
    <t>27ASB25018983</t>
  </si>
  <si>
    <t>27ASB25018984</t>
  </si>
  <si>
    <t>27ASB25018985</t>
  </si>
  <si>
    <t>27ASB25019097</t>
  </si>
  <si>
    <t>27ASB25019114</t>
  </si>
  <si>
    <t xml:space="preserve">PO.25.075661 </t>
  </si>
  <si>
    <t>034745</t>
  </si>
  <si>
    <t>27ASB25019137</t>
  </si>
  <si>
    <t>02861/AS/05/2025</t>
  </si>
  <si>
    <t>072021</t>
  </si>
  <si>
    <t>HUZAIRI</t>
  </si>
  <si>
    <t>27ASB25019139</t>
  </si>
  <si>
    <t>00305/AS/01/2025</t>
  </si>
  <si>
    <t>27ASB25019141</t>
  </si>
  <si>
    <t>00342/AS/01/2025</t>
  </si>
  <si>
    <t>27ASB25019142</t>
  </si>
  <si>
    <t>00571/AS/02/2025</t>
  </si>
  <si>
    <t>27ASB25019164</t>
  </si>
  <si>
    <t xml:space="preserve">202510-03417 </t>
  </si>
  <si>
    <t>063848</t>
  </si>
  <si>
    <t>27ASB25019198</t>
  </si>
  <si>
    <t>00247/AS/01/2025</t>
  </si>
  <si>
    <t>27ASB25019201</t>
  </si>
  <si>
    <t>27ASB25019209</t>
  </si>
  <si>
    <t>27ASB25019210</t>
  </si>
  <si>
    <t>27ASB25019211</t>
  </si>
  <si>
    <t>27ASB25019212</t>
  </si>
  <si>
    <t>27ASB25019242</t>
  </si>
  <si>
    <t>27ASB25019297</t>
  </si>
  <si>
    <t xml:space="preserve">5270404 </t>
  </si>
  <si>
    <t>069784</t>
  </si>
  <si>
    <t>27ASB25019307</t>
  </si>
  <si>
    <t>054828</t>
  </si>
  <si>
    <t>27ASB25019308</t>
  </si>
  <si>
    <t>062706</t>
  </si>
  <si>
    <t>27ASB25019384</t>
  </si>
  <si>
    <t>059439</t>
  </si>
  <si>
    <t>TELEPON</t>
  </si>
  <si>
    <t>DK II RTL</t>
  </si>
  <si>
    <t>KAMALUDIN</t>
  </si>
  <si>
    <t>27ASB25019462</t>
  </si>
  <si>
    <t>4503434689</t>
  </si>
  <si>
    <t>058899</t>
  </si>
  <si>
    <t>nomor_request</t>
  </si>
  <si>
    <t>cabang_sumber</t>
  </si>
  <si>
    <t>cabang_tujuan</t>
  </si>
  <si>
    <t>transfer_note</t>
  </si>
  <si>
    <t>tanggal_transfer</t>
  </si>
  <si>
    <t>status</t>
  </si>
  <si>
    <t>jenis</t>
  </si>
  <si>
    <t>nilai</t>
  </si>
  <si>
    <t>sisa</t>
  </si>
  <si>
    <t>ex: Diterima, Intransit</t>
  </si>
  <si>
    <t>ex: Deposit, Outstanding</t>
  </si>
  <si>
    <t>2526ACH25000103</t>
  </si>
  <si>
    <t>TANGERANG</t>
  </si>
  <si>
    <t>BEKASI</t>
  </si>
  <si>
    <t>TF MITRA GADING</t>
  </si>
  <si>
    <t>Intransit</t>
  </si>
  <si>
    <t>OUTSTANDING</t>
  </si>
  <si>
    <t>2526ACH25000104</t>
  </si>
  <si>
    <t>TF MITRA KELUARGA KALIDERES</t>
  </si>
  <si>
    <t>2526BCH25000037</t>
  </si>
  <si>
    <t>2726ACH25000072</t>
  </si>
  <si>
    <t>JAKARTA SELATAN</t>
  </si>
  <si>
    <t>TUKAR FAKTUR DI BKS</t>
  </si>
  <si>
    <t>2726ACH25000073</t>
  </si>
  <si>
    <t>NAGA SWALAYAN</t>
  </si>
  <si>
    <t>2807ACH25000090</t>
  </si>
  <si>
    <t>PUSAT (PIUTANG)</t>
  </si>
  <si>
    <t>JAKARTA PUSAT</t>
  </si>
  <si>
    <t>PENGEMBALIAN OUTSTANDING PIUTANG JAKPUS</t>
  </si>
  <si>
    <t>2507ACH25000038</t>
  </si>
  <si>
    <t>TF DI JAKPUS</t>
  </si>
  <si>
    <t>2507ACH25000040</t>
  </si>
  <si>
    <t>ERA CARING TUKAR FAKTUR DI JAKPUS</t>
  </si>
  <si>
    <t>2800ACH25000079</t>
  </si>
  <si>
    <t>28ACB25000113-1</t>
  </si>
  <si>
    <t>KANTOR PUSAT</t>
  </si>
  <si>
    <t>UM PPH 23 TIP TOP KUINTANSI NO 011644</t>
  </si>
  <si>
    <t>DEPOSIT</t>
  </si>
  <si>
    <t>0728ACH25000170</t>
  </si>
  <si>
    <t>TF DI PUSAT</t>
  </si>
  <si>
    <t>2528ACH25000083</t>
  </si>
  <si>
    <t>TUKAR FAKTUR DI PUSAT</t>
  </si>
  <si>
    <t>2728ACH25000048</t>
  </si>
  <si>
    <t>TIPTOP, GELAEL, FOODHALL, &amp; WATSONS</t>
  </si>
  <si>
    <t>0521ACH25000027</t>
  </si>
  <si>
    <t>PALEMBANG</t>
  </si>
  <si>
    <t>PUSAT 21</t>
  </si>
  <si>
    <t>PENGALIHAN PIUTANG SISA PPN BATAL</t>
  </si>
  <si>
    <t>0821ACH25000047</t>
  </si>
  <si>
    <t>08ACB24002347-1</t>
  </si>
  <si>
    <t>BOGOR</t>
  </si>
  <si>
    <t xml:space="preserve">PENGALIHAN OUTSTANDING MINUS </t>
  </si>
  <si>
    <t>2725ACH25000051</t>
  </si>
  <si>
    <t>TUKAR FAKTUR DI TGR</t>
  </si>
  <si>
    <t>1113ACH25000009</t>
  </si>
  <si>
    <t>SEMARANG</t>
  </si>
  <si>
    <t>YOGYAKARTA</t>
  </si>
  <si>
    <t>TITIP FAKTUR KF CABANG PURWOKERTO</t>
  </si>
  <si>
    <t>1213ACH25000015</t>
  </si>
  <si>
    <t>SOLO</t>
  </si>
  <si>
    <t>21</t>
  </si>
  <si>
    <t>28</t>
  </si>
  <si>
    <t>13</t>
  </si>
  <si>
    <t>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</si>
</sst>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i/>
      <sz val="10"/>
      <color theme="1"/>
      <name val="Arial"/>
    </font>
    <font>
      <i/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/>
    <xf numFmtId="0" fontId="1" fillId="0" borderId="0" xfId="0" applyFont="1" applyAlignment="1"/>
    <xf numFmtId="0" fontId="1" fillId="0" borderId="0" xfId="0" applyFont="1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0" fillId="0" borderId="0" xfId="0"/>
    <xf numFmtId="164" fontId="0" fillId="0" borderId="0" xfId="0" applyNumberFormat="1"/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999"/>
  <sheetViews>
    <sheetView tabSelected="1" topLeftCell="B1" workbookViewId="0">
      <selection activeCell="I13" sqref="I13"/>
    </sheetView>
  </sheetViews>
  <sheetFormatPr defaultColWidth="12.5703125" defaultRowHeight="15" customHeight="1" x14ac:dyDescent="0.2"/>
  <cols>
    <col min="1" max="6" width="12.5703125" customWidth="1"/>
    <col min="9" max="9" width="16.85546875" customWidth="1"/>
    <col min="11" max="11" width="17.28515625" customWidth="1"/>
    <col min="16" max="16" width="25.7109375" customWidth="1"/>
    <col min="17" max="17" width="34.7109375" customWidth="1"/>
    <col min="18" max="18" width="20.7109375" customWidth="1"/>
  </cols>
  <sheetData>
    <row r="1" spans="1:1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3" t="s">
        <v>16</v>
      </c>
      <c r="R1" s="4" t="s">
        <v>17</v>
      </c>
    </row>
    <row r="2" spans="1:18" ht="15.75" customHeight="1" x14ac:dyDescent="0.2">
      <c r="A2" s="5" t="s">
        <v>18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20</v>
      </c>
      <c r="I2" s="5" t="s">
        <v>21</v>
      </c>
      <c r="J2" s="5" t="s">
        <v>19</v>
      </c>
      <c r="K2" s="5" t="s">
        <v>19</v>
      </c>
      <c r="L2" s="5" t="s">
        <v>22</v>
      </c>
      <c r="M2" s="5" t="s">
        <v>23</v>
      </c>
      <c r="N2" s="5" t="s">
        <v>23</v>
      </c>
      <c r="O2" s="5" t="s">
        <v>23</v>
      </c>
      <c r="P2" s="5" t="s">
        <v>24</v>
      </c>
      <c r="Q2" s="6" t="s">
        <v>25</v>
      </c>
      <c r="R2" s="5" t="s">
        <v>19</v>
      </c>
    </row>
    <row r="3" spans="1:18" ht="15.75" customHeight="1" x14ac:dyDescent="0.2"/>
    <row r="4" spans="1:18" s="7" customFormat="1" ht="12.75" x14ac:dyDescent="0.2">
      <c r="A4" s="8">
        <v>45916</v>
      </c>
      <c r="B4" s="7" t="s">
        <v>28</v>
      </c>
      <c r="C4" s="7" t="s">
        <v>29</v>
      </c>
      <c r="D4" s="7" t="s">
        <v>30</v>
      </c>
      <c r="E4" s="7" t="s">
        <v>31</v>
      </c>
      <c r="F4" s="7" t="s">
        <v>32</v>
      </c>
      <c r="G4" s="7" t="s">
        <v>33</v>
      </c>
      <c r="H4" s="7" t="s">
        <v>34</v>
      </c>
      <c r="I4" s="7" t="s">
        <v>26</v>
      </c>
      <c r="J4" s="7" t="s">
        <v>35</v>
      </c>
      <c r="K4" s="7" t="s">
        <v>36</v>
      </c>
      <c r="L4" s="7" t="s">
        <v>33</v>
      </c>
      <c r="M4" s="7">
        <v>2062573</v>
      </c>
      <c r="N4" s="7">
        <v>204399</v>
      </c>
      <c r="O4" s="7">
        <v>0</v>
      </c>
      <c r="P4" s="7" t="s">
        <v>37</v>
      </c>
      <c r="Q4" s="7" t="s">
        <v>29</v>
      </c>
      <c r="R4" s="7" t="s">
        <v>266</v>
      </c>
    </row>
    <row r="5" spans="1:18" s="7" customFormat="1" ht="12.75" x14ac:dyDescent="0.2">
      <c r="A5" s="8">
        <v>45925</v>
      </c>
      <c r="B5" s="7" t="s">
        <v>38</v>
      </c>
      <c r="C5" s="7" t="s">
        <v>29</v>
      </c>
      <c r="D5" s="7" t="s">
        <v>30</v>
      </c>
      <c r="E5" s="7" t="s">
        <v>39</v>
      </c>
      <c r="F5" s="7" t="s">
        <v>32</v>
      </c>
      <c r="G5" s="7" t="s">
        <v>33</v>
      </c>
      <c r="H5" s="7" t="s">
        <v>34</v>
      </c>
      <c r="I5" s="7" t="s">
        <v>26</v>
      </c>
      <c r="J5" s="7" t="s">
        <v>35</v>
      </c>
      <c r="K5" s="7" t="s">
        <v>36</v>
      </c>
      <c r="L5" s="7" t="s">
        <v>33</v>
      </c>
      <c r="M5" s="7">
        <v>502293</v>
      </c>
      <c r="N5" s="7">
        <v>49776</v>
      </c>
      <c r="O5" s="7">
        <v>0</v>
      </c>
      <c r="P5" s="7" t="s">
        <v>37</v>
      </c>
      <c r="Q5" s="7" t="s">
        <v>29</v>
      </c>
      <c r="R5" s="7" t="s">
        <v>266</v>
      </c>
    </row>
    <row r="6" spans="1:18" s="7" customFormat="1" ht="12.75" x14ac:dyDescent="0.2">
      <c r="A6" s="8">
        <v>45530</v>
      </c>
      <c r="B6" s="7" t="s">
        <v>40</v>
      </c>
      <c r="C6" s="7" t="s">
        <v>29</v>
      </c>
      <c r="D6" s="7" t="s">
        <v>41</v>
      </c>
      <c r="E6" s="7" t="s">
        <v>42</v>
      </c>
      <c r="F6" s="7" t="s">
        <v>32</v>
      </c>
      <c r="G6" s="7" t="s">
        <v>33</v>
      </c>
      <c r="H6" s="7" t="s">
        <v>34</v>
      </c>
      <c r="I6" s="7" t="s">
        <v>27</v>
      </c>
      <c r="J6" s="7" t="s">
        <v>43</v>
      </c>
      <c r="K6" s="7" t="s">
        <v>44</v>
      </c>
      <c r="L6" s="7" t="s">
        <v>33</v>
      </c>
      <c r="M6" s="7">
        <v>1818653</v>
      </c>
      <c r="N6" s="7">
        <v>180226</v>
      </c>
      <c r="O6" s="7">
        <v>0</v>
      </c>
      <c r="P6" s="7" t="s">
        <v>37</v>
      </c>
      <c r="Q6" s="7" t="s">
        <v>29</v>
      </c>
      <c r="R6" s="7" t="s">
        <v>41</v>
      </c>
    </row>
    <row r="7" spans="1:18" s="7" customFormat="1" ht="12.75" x14ac:dyDescent="0.2">
      <c r="A7" s="8">
        <v>45957</v>
      </c>
      <c r="B7" s="7" t="s">
        <v>45</v>
      </c>
      <c r="C7" s="7" t="s">
        <v>46</v>
      </c>
      <c r="D7" s="7" t="s">
        <v>41</v>
      </c>
      <c r="E7" s="7" t="s">
        <v>47</v>
      </c>
      <c r="F7" s="7" t="s">
        <v>32</v>
      </c>
      <c r="G7" s="7" t="s">
        <v>33</v>
      </c>
      <c r="H7" s="7" t="s">
        <v>34</v>
      </c>
      <c r="I7" s="7" t="s">
        <v>27</v>
      </c>
      <c r="J7" s="7" t="s">
        <v>43</v>
      </c>
      <c r="K7" s="7" t="s">
        <v>44</v>
      </c>
      <c r="L7" s="7" t="s">
        <v>33</v>
      </c>
      <c r="M7" s="7">
        <v>197435</v>
      </c>
      <c r="N7" s="7">
        <v>19565</v>
      </c>
      <c r="O7" s="7">
        <v>0</v>
      </c>
      <c r="P7" s="7" t="s">
        <v>37</v>
      </c>
      <c r="Q7" s="7" t="s">
        <v>29</v>
      </c>
      <c r="R7" s="7" t="s">
        <v>267</v>
      </c>
    </row>
    <row r="8" spans="1:18" s="7" customFormat="1" ht="12.75" x14ac:dyDescent="0.2">
      <c r="A8" s="8">
        <v>45947</v>
      </c>
      <c r="B8" s="7" t="s">
        <v>48</v>
      </c>
      <c r="C8" s="7" t="s">
        <v>29</v>
      </c>
      <c r="D8" s="7" t="s">
        <v>49</v>
      </c>
      <c r="E8" s="7" t="s">
        <v>50</v>
      </c>
      <c r="F8" s="7" t="s">
        <v>32</v>
      </c>
      <c r="G8" s="7" t="s">
        <v>33</v>
      </c>
      <c r="H8" s="7" t="s">
        <v>34</v>
      </c>
      <c r="I8" s="7" t="s">
        <v>27</v>
      </c>
      <c r="J8" s="7" t="s">
        <v>51</v>
      </c>
      <c r="K8" s="7" t="s">
        <v>52</v>
      </c>
      <c r="L8" s="7" t="s">
        <v>33</v>
      </c>
      <c r="M8" s="7">
        <v>270751</v>
      </c>
      <c r="N8" s="7">
        <v>26831</v>
      </c>
      <c r="O8" s="7">
        <v>0</v>
      </c>
      <c r="P8" s="7" t="s">
        <v>37</v>
      </c>
      <c r="Q8" s="7" t="s">
        <v>29</v>
      </c>
      <c r="R8" s="7" t="s">
        <v>268</v>
      </c>
    </row>
    <row r="9" spans="1:18" s="7" customFormat="1" ht="12.75" x14ac:dyDescent="0.2">
      <c r="A9" s="8">
        <v>45947</v>
      </c>
      <c r="B9" s="7" t="s">
        <v>53</v>
      </c>
      <c r="C9" s="7" t="s">
        <v>29</v>
      </c>
      <c r="D9" s="7" t="s">
        <v>49</v>
      </c>
      <c r="E9" s="7" t="s">
        <v>54</v>
      </c>
      <c r="F9" s="7" t="s">
        <v>32</v>
      </c>
      <c r="G9" s="7" t="s">
        <v>33</v>
      </c>
      <c r="H9" s="7" t="s">
        <v>34</v>
      </c>
      <c r="I9" s="7" t="s">
        <v>27</v>
      </c>
      <c r="J9" s="7" t="s">
        <v>51</v>
      </c>
      <c r="K9" s="7" t="s">
        <v>52</v>
      </c>
      <c r="L9" s="7" t="s">
        <v>33</v>
      </c>
      <c r="M9" s="7">
        <v>589001</v>
      </c>
      <c r="N9" s="7">
        <v>58369</v>
      </c>
      <c r="O9" s="7">
        <v>0</v>
      </c>
      <c r="P9" s="7" t="s">
        <v>37</v>
      </c>
      <c r="Q9" s="7" t="s">
        <v>29</v>
      </c>
      <c r="R9" s="7" t="s">
        <v>268</v>
      </c>
    </row>
    <row r="10" spans="1:18" s="7" customFormat="1" ht="12.75" x14ac:dyDescent="0.2">
      <c r="A10" s="8">
        <v>45947</v>
      </c>
      <c r="B10" s="7" t="s">
        <v>55</v>
      </c>
      <c r="C10" s="7" t="s">
        <v>29</v>
      </c>
      <c r="D10" s="7" t="s">
        <v>49</v>
      </c>
      <c r="E10" s="7" t="s">
        <v>56</v>
      </c>
      <c r="F10" s="7" t="s">
        <v>32</v>
      </c>
      <c r="G10" s="7" t="s">
        <v>33</v>
      </c>
      <c r="H10" s="7" t="s">
        <v>34</v>
      </c>
      <c r="I10" s="7" t="s">
        <v>27</v>
      </c>
      <c r="J10" s="7" t="s">
        <v>57</v>
      </c>
      <c r="K10" s="7" t="s">
        <v>58</v>
      </c>
      <c r="L10" s="7" t="s">
        <v>33</v>
      </c>
      <c r="M10" s="7">
        <v>180500</v>
      </c>
      <c r="N10" s="7">
        <v>17887</v>
      </c>
      <c r="O10" s="7">
        <v>0</v>
      </c>
      <c r="P10" s="7" t="s">
        <v>37</v>
      </c>
      <c r="Q10" s="7" t="s">
        <v>29</v>
      </c>
      <c r="R10" s="7" t="s">
        <v>268</v>
      </c>
    </row>
    <row r="11" spans="1:18" s="7" customFormat="1" ht="12.75" x14ac:dyDescent="0.2">
      <c r="A11" s="8">
        <v>45947</v>
      </c>
      <c r="B11" s="7" t="s">
        <v>59</v>
      </c>
      <c r="C11" s="7" t="s">
        <v>29</v>
      </c>
      <c r="D11" s="7" t="s">
        <v>49</v>
      </c>
      <c r="E11" s="7" t="s">
        <v>60</v>
      </c>
      <c r="F11" s="7" t="s">
        <v>32</v>
      </c>
      <c r="G11" s="7" t="s">
        <v>33</v>
      </c>
      <c r="H11" s="7" t="s">
        <v>34</v>
      </c>
      <c r="I11" s="7" t="s">
        <v>27</v>
      </c>
      <c r="J11" s="7" t="s">
        <v>61</v>
      </c>
      <c r="K11" s="7" t="s">
        <v>58</v>
      </c>
      <c r="L11" s="7" t="s">
        <v>33</v>
      </c>
      <c r="M11" s="7">
        <v>275499</v>
      </c>
      <c r="N11" s="7">
        <v>27301</v>
      </c>
      <c r="O11" s="7">
        <v>0</v>
      </c>
      <c r="P11" s="7" t="s">
        <v>37</v>
      </c>
      <c r="Q11" s="7" t="s">
        <v>29</v>
      </c>
      <c r="R11" s="7" t="s">
        <v>268</v>
      </c>
    </row>
    <row r="12" spans="1:18" s="7" customFormat="1" ht="12.75" x14ac:dyDescent="0.2">
      <c r="A12" s="8">
        <v>45951</v>
      </c>
      <c r="B12" s="7" t="s">
        <v>62</v>
      </c>
      <c r="C12" s="7" t="s">
        <v>29</v>
      </c>
      <c r="D12" s="7" t="s">
        <v>63</v>
      </c>
      <c r="E12" s="7" t="s">
        <v>64</v>
      </c>
      <c r="F12" s="7" t="s">
        <v>32</v>
      </c>
      <c r="G12" s="7" t="s">
        <v>33</v>
      </c>
      <c r="H12" s="7" t="s">
        <v>34</v>
      </c>
      <c r="I12" s="7" t="s">
        <v>27</v>
      </c>
      <c r="J12" s="7" t="s">
        <v>65</v>
      </c>
      <c r="K12" s="7" t="s">
        <v>66</v>
      </c>
      <c r="L12" s="7" t="s">
        <v>33</v>
      </c>
      <c r="M12" s="7">
        <v>350535</v>
      </c>
      <c r="N12" s="7">
        <v>34737</v>
      </c>
      <c r="O12" s="7">
        <v>0</v>
      </c>
      <c r="P12" s="7" t="s">
        <v>37</v>
      </c>
      <c r="Q12" s="7" t="s">
        <v>29</v>
      </c>
      <c r="R12" s="7" t="s">
        <v>268</v>
      </c>
    </row>
    <row r="13" spans="1:18" s="7" customFormat="1" ht="12.75" x14ac:dyDescent="0.2">
      <c r="A13" s="8">
        <v>45952</v>
      </c>
      <c r="B13" s="7" t="s">
        <v>67</v>
      </c>
      <c r="C13" s="7" t="s">
        <v>29</v>
      </c>
      <c r="D13" s="7" t="s">
        <v>63</v>
      </c>
      <c r="E13" s="7" t="s">
        <v>64</v>
      </c>
      <c r="F13" s="7" t="s">
        <v>32</v>
      </c>
      <c r="G13" s="7" t="s">
        <v>33</v>
      </c>
      <c r="H13" s="7" t="s">
        <v>34</v>
      </c>
      <c r="I13" s="7" t="s">
        <v>27</v>
      </c>
      <c r="J13" s="7" t="s">
        <v>65</v>
      </c>
      <c r="K13" s="7" t="s">
        <v>66</v>
      </c>
      <c r="L13" s="7" t="s">
        <v>33</v>
      </c>
      <c r="M13" s="7">
        <v>1734264</v>
      </c>
      <c r="N13" s="7">
        <v>171864</v>
      </c>
      <c r="O13" s="7">
        <v>0</v>
      </c>
      <c r="P13" s="7" t="s">
        <v>37</v>
      </c>
      <c r="Q13" s="7" t="s">
        <v>29</v>
      </c>
      <c r="R13" s="7" t="s">
        <v>268</v>
      </c>
    </row>
    <row r="14" spans="1:18" s="7" customFormat="1" ht="12.75" x14ac:dyDescent="0.2">
      <c r="A14" s="8">
        <v>45941</v>
      </c>
      <c r="B14" s="7" t="s">
        <v>68</v>
      </c>
      <c r="C14" s="7" t="s">
        <v>69</v>
      </c>
      <c r="D14" s="7" t="s">
        <v>70</v>
      </c>
      <c r="E14" s="7" t="s">
        <v>71</v>
      </c>
      <c r="F14" s="7" t="s">
        <v>32</v>
      </c>
      <c r="G14" s="7" t="s">
        <v>33</v>
      </c>
      <c r="H14" s="7" t="s">
        <v>34</v>
      </c>
      <c r="I14" s="7" t="s">
        <v>27</v>
      </c>
      <c r="J14" s="7" t="s">
        <v>72</v>
      </c>
      <c r="K14" s="7" t="s">
        <v>73</v>
      </c>
      <c r="L14" s="7" t="s">
        <v>33</v>
      </c>
      <c r="M14" s="7">
        <v>989942</v>
      </c>
      <c r="N14" s="7">
        <v>98102</v>
      </c>
      <c r="O14" s="7">
        <v>0</v>
      </c>
      <c r="P14" s="7" t="s">
        <v>37</v>
      </c>
      <c r="Q14" s="7" t="s">
        <v>29</v>
      </c>
      <c r="R14" s="7" t="s">
        <v>41</v>
      </c>
    </row>
    <row r="15" spans="1:18" s="7" customFormat="1" ht="12.75" x14ac:dyDescent="0.2">
      <c r="A15" s="8">
        <v>45950</v>
      </c>
      <c r="B15" s="7" t="s">
        <v>74</v>
      </c>
      <c r="C15" s="7" t="s">
        <v>75</v>
      </c>
      <c r="D15" s="7" t="s">
        <v>70</v>
      </c>
      <c r="E15" s="7" t="s">
        <v>76</v>
      </c>
      <c r="F15" s="7" t="s">
        <v>32</v>
      </c>
      <c r="G15" s="7" t="s">
        <v>33</v>
      </c>
      <c r="H15" s="7" t="s">
        <v>34</v>
      </c>
      <c r="I15" s="7" t="s">
        <v>27</v>
      </c>
      <c r="J15" s="7" t="s">
        <v>72</v>
      </c>
      <c r="K15" s="7" t="s">
        <v>73</v>
      </c>
      <c r="L15" s="7" t="s">
        <v>33</v>
      </c>
      <c r="M15" s="7">
        <v>592307</v>
      </c>
      <c r="N15" s="7">
        <v>58697</v>
      </c>
      <c r="O15" s="7">
        <v>0</v>
      </c>
      <c r="P15" s="7" t="s">
        <v>37</v>
      </c>
      <c r="Q15" s="7" t="s">
        <v>29</v>
      </c>
      <c r="R15" s="7" t="s">
        <v>267</v>
      </c>
    </row>
    <row r="16" spans="1:18" s="7" customFormat="1" ht="12.75" x14ac:dyDescent="0.2">
      <c r="A16" s="8">
        <v>45951</v>
      </c>
      <c r="B16" s="7" t="s">
        <v>77</v>
      </c>
      <c r="C16" s="7" t="s">
        <v>78</v>
      </c>
      <c r="D16" s="7" t="s">
        <v>70</v>
      </c>
      <c r="E16" s="7" t="s">
        <v>71</v>
      </c>
      <c r="F16" s="7" t="s">
        <v>32</v>
      </c>
      <c r="G16" s="7" t="s">
        <v>33</v>
      </c>
      <c r="H16" s="7" t="s">
        <v>34</v>
      </c>
      <c r="I16" s="7" t="s">
        <v>27</v>
      </c>
      <c r="J16" s="7" t="s">
        <v>72</v>
      </c>
      <c r="K16" s="7" t="s">
        <v>73</v>
      </c>
      <c r="L16" s="7" t="s">
        <v>33</v>
      </c>
      <c r="M16" s="7">
        <v>13059150</v>
      </c>
      <c r="N16" s="7">
        <v>1294150</v>
      </c>
      <c r="O16" s="7">
        <v>0</v>
      </c>
      <c r="P16" s="7" t="s">
        <v>37</v>
      </c>
      <c r="Q16" s="7" t="s">
        <v>29</v>
      </c>
      <c r="R16" s="7" t="s">
        <v>41</v>
      </c>
    </row>
    <row r="17" spans="1:18" s="7" customFormat="1" ht="12.75" x14ac:dyDescent="0.2">
      <c r="A17" s="8">
        <v>45951</v>
      </c>
      <c r="B17" s="7" t="s">
        <v>79</v>
      </c>
      <c r="C17" s="7" t="s">
        <v>80</v>
      </c>
      <c r="D17" s="7" t="s">
        <v>70</v>
      </c>
      <c r="E17" s="7" t="s">
        <v>81</v>
      </c>
      <c r="F17" s="7" t="s">
        <v>32</v>
      </c>
      <c r="G17" s="7" t="s">
        <v>33</v>
      </c>
      <c r="H17" s="7" t="s">
        <v>34</v>
      </c>
      <c r="I17" s="7" t="s">
        <v>27</v>
      </c>
      <c r="J17" s="7" t="s">
        <v>82</v>
      </c>
      <c r="K17" s="7" t="s">
        <v>83</v>
      </c>
      <c r="L17" s="7" t="s">
        <v>33</v>
      </c>
      <c r="M17" s="7">
        <v>461205</v>
      </c>
      <c r="N17" s="7">
        <v>45705</v>
      </c>
      <c r="O17" s="7">
        <v>0</v>
      </c>
      <c r="P17" s="7" t="s">
        <v>37</v>
      </c>
      <c r="Q17" s="7" t="s">
        <v>29</v>
      </c>
      <c r="R17" s="7" t="s">
        <v>269</v>
      </c>
    </row>
    <row r="18" spans="1:18" s="7" customFormat="1" ht="12.75" x14ac:dyDescent="0.2">
      <c r="A18" s="8">
        <v>45951</v>
      </c>
      <c r="B18" s="7" t="s">
        <v>84</v>
      </c>
      <c r="C18" s="7" t="s">
        <v>85</v>
      </c>
      <c r="D18" s="7" t="s">
        <v>70</v>
      </c>
      <c r="E18" s="7" t="s">
        <v>81</v>
      </c>
      <c r="F18" s="7" t="s">
        <v>32</v>
      </c>
      <c r="G18" s="7" t="s">
        <v>33</v>
      </c>
      <c r="H18" s="7" t="s">
        <v>34</v>
      </c>
      <c r="I18" s="7" t="s">
        <v>27</v>
      </c>
      <c r="J18" s="7" t="s">
        <v>82</v>
      </c>
      <c r="K18" s="7" t="s">
        <v>83</v>
      </c>
      <c r="L18" s="7" t="s">
        <v>33</v>
      </c>
      <c r="M18" s="7">
        <v>1842683</v>
      </c>
      <c r="N18" s="7">
        <v>182608</v>
      </c>
      <c r="O18" s="7">
        <v>0</v>
      </c>
      <c r="P18" s="7" t="s">
        <v>37</v>
      </c>
      <c r="Q18" s="7" t="s">
        <v>29</v>
      </c>
      <c r="R18" s="7" t="s">
        <v>269</v>
      </c>
    </row>
    <row r="19" spans="1:18" s="7" customFormat="1" ht="12.75" x14ac:dyDescent="0.2">
      <c r="A19" s="8">
        <v>45951</v>
      </c>
      <c r="B19" s="7" t="s">
        <v>86</v>
      </c>
      <c r="C19" s="7" t="s">
        <v>87</v>
      </c>
      <c r="D19" s="7" t="s">
        <v>70</v>
      </c>
      <c r="E19" s="7" t="s">
        <v>81</v>
      </c>
      <c r="F19" s="7" t="s">
        <v>32</v>
      </c>
      <c r="G19" s="7" t="s">
        <v>33</v>
      </c>
      <c r="H19" s="7" t="s">
        <v>34</v>
      </c>
      <c r="I19" s="7" t="s">
        <v>27</v>
      </c>
      <c r="J19" s="7" t="s">
        <v>82</v>
      </c>
      <c r="K19" s="7" t="s">
        <v>83</v>
      </c>
      <c r="L19" s="7" t="s">
        <v>33</v>
      </c>
      <c r="M19" s="7">
        <v>56943</v>
      </c>
      <c r="N19" s="7">
        <v>5643</v>
      </c>
      <c r="O19" s="7">
        <v>0</v>
      </c>
      <c r="P19" s="7" t="s">
        <v>37</v>
      </c>
      <c r="Q19" s="7" t="s">
        <v>29</v>
      </c>
      <c r="R19" s="7" t="s">
        <v>269</v>
      </c>
    </row>
    <row r="20" spans="1:18" s="7" customFormat="1" ht="12.75" x14ac:dyDescent="0.2">
      <c r="A20" s="8">
        <v>45952</v>
      </c>
      <c r="B20" s="7" t="s">
        <v>88</v>
      </c>
      <c r="C20" s="7" t="s">
        <v>89</v>
      </c>
      <c r="D20" s="7" t="s">
        <v>70</v>
      </c>
      <c r="E20" s="7" t="s">
        <v>81</v>
      </c>
      <c r="F20" s="7" t="s">
        <v>32</v>
      </c>
      <c r="G20" s="7" t="s">
        <v>33</v>
      </c>
      <c r="H20" s="7" t="s">
        <v>34</v>
      </c>
      <c r="I20" s="7" t="s">
        <v>27</v>
      </c>
      <c r="J20" s="7" t="s">
        <v>82</v>
      </c>
      <c r="K20" s="7" t="s">
        <v>83</v>
      </c>
      <c r="L20" s="7" t="s">
        <v>33</v>
      </c>
      <c r="M20" s="7">
        <v>738150</v>
      </c>
      <c r="N20" s="7">
        <v>73150</v>
      </c>
      <c r="O20" s="7">
        <v>0</v>
      </c>
      <c r="P20" s="7" t="s">
        <v>37</v>
      </c>
      <c r="Q20" s="7" t="s">
        <v>29</v>
      </c>
      <c r="R20" s="7" t="s">
        <v>269</v>
      </c>
    </row>
    <row r="21" spans="1:18" s="7" customFormat="1" ht="12.75" x14ac:dyDescent="0.2">
      <c r="A21" s="8">
        <v>45952</v>
      </c>
      <c r="B21" s="7" t="s">
        <v>90</v>
      </c>
      <c r="C21" s="7" t="s">
        <v>91</v>
      </c>
      <c r="D21" s="7" t="s">
        <v>70</v>
      </c>
      <c r="E21" s="7" t="s">
        <v>71</v>
      </c>
      <c r="F21" s="7" t="s">
        <v>32</v>
      </c>
      <c r="G21" s="7" t="s">
        <v>33</v>
      </c>
      <c r="H21" s="7" t="s">
        <v>34</v>
      </c>
      <c r="I21" s="7" t="s">
        <v>27</v>
      </c>
      <c r="J21" s="7" t="s">
        <v>72</v>
      </c>
      <c r="K21" s="7" t="s">
        <v>73</v>
      </c>
      <c r="L21" s="7" t="s">
        <v>33</v>
      </c>
      <c r="M21" s="7">
        <v>2207790</v>
      </c>
      <c r="N21" s="7">
        <v>218790</v>
      </c>
      <c r="O21" s="7">
        <v>0</v>
      </c>
      <c r="P21" s="7" t="s">
        <v>37</v>
      </c>
      <c r="Q21" s="7" t="s">
        <v>29</v>
      </c>
      <c r="R21" s="7" t="s">
        <v>41</v>
      </c>
    </row>
    <row r="22" spans="1:18" s="7" customFormat="1" ht="12.75" x14ac:dyDescent="0.2">
      <c r="A22" s="8">
        <v>45952</v>
      </c>
      <c r="B22" s="7" t="s">
        <v>92</v>
      </c>
      <c r="C22" s="7" t="s">
        <v>93</v>
      </c>
      <c r="D22" s="7" t="s">
        <v>70</v>
      </c>
      <c r="E22" s="7" t="s">
        <v>81</v>
      </c>
      <c r="F22" s="7" t="s">
        <v>32</v>
      </c>
      <c r="G22" s="7" t="s">
        <v>33</v>
      </c>
      <c r="H22" s="7" t="s">
        <v>34</v>
      </c>
      <c r="I22" s="7" t="s">
        <v>27</v>
      </c>
      <c r="J22" s="7" t="s">
        <v>82</v>
      </c>
      <c r="K22" s="7" t="s">
        <v>83</v>
      </c>
      <c r="L22" s="7" t="s">
        <v>33</v>
      </c>
      <c r="M22" s="7">
        <v>337440</v>
      </c>
      <c r="N22" s="7">
        <v>33440</v>
      </c>
      <c r="O22" s="7">
        <v>0</v>
      </c>
      <c r="P22" s="7" t="s">
        <v>37</v>
      </c>
      <c r="Q22" s="7" t="s">
        <v>29</v>
      </c>
      <c r="R22" s="7" t="s">
        <v>269</v>
      </c>
    </row>
    <row r="23" spans="1:18" s="7" customFormat="1" ht="12.75" x14ac:dyDescent="0.2">
      <c r="A23" s="8">
        <v>45952</v>
      </c>
      <c r="B23" s="7" t="s">
        <v>94</v>
      </c>
      <c r="C23" s="7" t="s">
        <v>95</v>
      </c>
      <c r="D23" s="7" t="s">
        <v>70</v>
      </c>
      <c r="E23" s="7" t="s">
        <v>96</v>
      </c>
      <c r="F23" s="7" t="s">
        <v>32</v>
      </c>
      <c r="G23" s="7" t="s">
        <v>33</v>
      </c>
      <c r="H23" s="7" t="s">
        <v>34</v>
      </c>
      <c r="I23" s="7" t="s">
        <v>27</v>
      </c>
      <c r="J23" s="7" t="s">
        <v>72</v>
      </c>
      <c r="K23" s="7" t="s">
        <v>73</v>
      </c>
      <c r="L23" s="7" t="s">
        <v>33</v>
      </c>
      <c r="M23" s="7">
        <v>4539609</v>
      </c>
      <c r="N23" s="7">
        <v>449871</v>
      </c>
      <c r="O23" s="7">
        <v>0</v>
      </c>
      <c r="P23" s="7" t="s">
        <v>37</v>
      </c>
      <c r="Q23" s="7" t="s">
        <v>29</v>
      </c>
      <c r="R23" s="7" t="s">
        <v>267</v>
      </c>
    </row>
    <row r="24" spans="1:18" s="7" customFormat="1" ht="12.75" x14ac:dyDescent="0.2">
      <c r="A24" s="8">
        <v>45953</v>
      </c>
      <c r="B24" s="7" t="s">
        <v>97</v>
      </c>
      <c r="C24" s="7" t="s">
        <v>98</v>
      </c>
      <c r="D24" s="7" t="s">
        <v>70</v>
      </c>
      <c r="E24" s="7" t="s">
        <v>99</v>
      </c>
      <c r="F24" s="7" t="s">
        <v>32</v>
      </c>
      <c r="G24" s="7" t="s">
        <v>33</v>
      </c>
      <c r="H24" s="7" t="s">
        <v>34</v>
      </c>
      <c r="I24" s="7" t="s">
        <v>27</v>
      </c>
      <c r="J24" s="7" t="s">
        <v>100</v>
      </c>
      <c r="K24" s="7" t="s">
        <v>101</v>
      </c>
      <c r="L24" s="7" t="s">
        <v>33</v>
      </c>
      <c r="M24" s="7">
        <v>4772605</v>
      </c>
      <c r="N24" s="7">
        <v>472960</v>
      </c>
      <c r="O24" s="7">
        <v>0</v>
      </c>
      <c r="P24" s="7" t="s">
        <v>37</v>
      </c>
      <c r="Q24" s="7" t="s">
        <v>29</v>
      </c>
      <c r="R24" s="7" t="s">
        <v>269</v>
      </c>
    </row>
    <row r="25" spans="1:18" s="7" customFormat="1" ht="12.75" x14ac:dyDescent="0.2">
      <c r="A25" s="8">
        <v>45953</v>
      </c>
      <c r="B25" s="7" t="s">
        <v>102</v>
      </c>
      <c r="C25" s="7" t="s">
        <v>103</v>
      </c>
      <c r="D25" s="7" t="s">
        <v>70</v>
      </c>
      <c r="E25" s="7" t="s">
        <v>99</v>
      </c>
      <c r="F25" s="7" t="s">
        <v>32</v>
      </c>
      <c r="G25" s="7" t="s">
        <v>33</v>
      </c>
      <c r="H25" s="7" t="s">
        <v>34</v>
      </c>
      <c r="I25" s="7" t="s">
        <v>27</v>
      </c>
      <c r="J25" s="7" t="s">
        <v>100</v>
      </c>
      <c r="K25" s="7" t="s">
        <v>101</v>
      </c>
      <c r="L25" s="7" t="s">
        <v>33</v>
      </c>
      <c r="M25" s="7">
        <v>3428568</v>
      </c>
      <c r="N25" s="7">
        <v>339768</v>
      </c>
      <c r="O25" s="7">
        <v>0</v>
      </c>
      <c r="P25" s="7" t="s">
        <v>37</v>
      </c>
      <c r="Q25" s="7" t="s">
        <v>29</v>
      </c>
      <c r="R25" s="7" t="s">
        <v>269</v>
      </c>
    </row>
    <row r="26" spans="1:18" s="7" customFormat="1" ht="12.75" x14ac:dyDescent="0.2">
      <c r="A26" s="8">
        <v>45953</v>
      </c>
      <c r="B26" s="7" t="s">
        <v>104</v>
      </c>
      <c r="C26" s="7" t="s">
        <v>105</v>
      </c>
      <c r="D26" s="7" t="s">
        <v>70</v>
      </c>
      <c r="E26" s="7" t="s">
        <v>99</v>
      </c>
      <c r="F26" s="7" t="s">
        <v>32</v>
      </c>
      <c r="G26" s="7" t="s">
        <v>33</v>
      </c>
      <c r="H26" s="7" t="s">
        <v>34</v>
      </c>
      <c r="I26" s="7" t="s">
        <v>27</v>
      </c>
      <c r="J26" s="7" t="s">
        <v>100</v>
      </c>
      <c r="K26" s="7" t="s">
        <v>101</v>
      </c>
      <c r="L26" s="7" t="s">
        <v>33</v>
      </c>
      <c r="M26" s="7">
        <v>971250</v>
      </c>
      <c r="N26" s="7">
        <v>96250</v>
      </c>
      <c r="O26" s="7">
        <v>0</v>
      </c>
      <c r="P26" s="7" t="s">
        <v>37</v>
      </c>
      <c r="Q26" s="7" t="s">
        <v>29</v>
      </c>
      <c r="R26" s="7" t="s">
        <v>269</v>
      </c>
    </row>
    <row r="27" spans="1:18" s="7" customFormat="1" ht="12.75" x14ac:dyDescent="0.2">
      <c r="A27" s="8">
        <v>45954</v>
      </c>
      <c r="B27" s="7" t="s">
        <v>106</v>
      </c>
      <c r="C27" s="7" t="s">
        <v>107</v>
      </c>
      <c r="D27" s="7" t="s">
        <v>70</v>
      </c>
      <c r="E27" s="7" t="s">
        <v>108</v>
      </c>
      <c r="F27" s="7" t="s">
        <v>32</v>
      </c>
      <c r="G27" s="7" t="s">
        <v>33</v>
      </c>
      <c r="H27" s="7" t="s">
        <v>34</v>
      </c>
      <c r="I27" s="7" t="s">
        <v>27</v>
      </c>
      <c r="J27" s="7" t="s">
        <v>72</v>
      </c>
      <c r="K27" s="7" t="s">
        <v>73</v>
      </c>
      <c r="L27" s="7" t="s">
        <v>33</v>
      </c>
      <c r="M27" s="7">
        <v>1078388</v>
      </c>
      <c r="N27" s="7">
        <v>106867</v>
      </c>
      <c r="O27" s="7">
        <v>0</v>
      </c>
      <c r="P27" s="7" t="s">
        <v>37</v>
      </c>
      <c r="Q27" s="7" t="s">
        <v>29</v>
      </c>
      <c r="R27" s="7" t="s">
        <v>267</v>
      </c>
    </row>
    <row r="28" spans="1:18" s="7" customFormat="1" ht="12.75" x14ac:dyDescent="0.2">
      <c r="A28" s="8">
        <v>45954</v>
      </c>
      <c r="B28" s="7" t="s">
        <v>109</v>
      </c>
      <c r="C28" s="7" t="s">
        <v>110</v>
      </c>
      <c r="D28" s="7" t="s">
        <v>70</v>
      </c>
      <c r="E28" s="7" t="s">
        <v>99</v>
      </c>
      <c r="F28" s="7" t="s">
        <v>32</v>
      </c>
      <c r="G28" s="7" t="s">
        <v>33</v>
      </c>
      <c r="H28" s="7" t="s">
        <v>34</v>
      </c>
      <c r="I28" s="7" t="s">
        <v>27</v>
      </c>
      <c r="J28" s="7" t="s">
        <v>100</v>
      </c>
      <c r="K28" s="7" t="s">
        <v>101</v>
      </c>
      <c r="L28" s="7" t="s">
        <v>33</v>
      </c>
      <c r="M28" s="7">
        <v>284715</v>
      </c>
      <c r="N28" s="7">
        <v>28215</v>
      </c>
      <c r="O28" s="7">
        <v>0</v>
      </c>
      <c r="P28" s="7" t="s">
        <v>37</v>
      </c>
      <c r="Q28" s="7" t="s">
        <v>29</v>
      </c>
      <c r="R28" s="7" t="s">
        <v>269</v>
      </c>
    </row>
    <row r="29" spans="1:18" s="7" customFormat="1" ht="12.75" x14ac:dyDescent="0.2">
      <c r="A29" s="8">
        <v>45954</v>
      </c>
      <c r="B29" s="7" t="s">
        <v>111</v>
      </c>
      <c r="C29" s="7" t="s">
        <v>85</v>
      </c>
      <c r="D29" s="7" t="s">
        <v>70</v>
      </c>
      <c r="E29" s="7" t="s">
        <v>81</v>
      </c>
      <c r="F29" s="7" t="s">
        <v>32</v>
      </c>
      <c r="G29" s="7" t="s">
        <v>33</v>
      </c>
      <c r="H29" s="7" t="s">
        <v>34</v>
      </c>
      <c r="I29" s="7" t="s">
        <v>27</v>
      </c>
      <c r="J29" s="7" t="s">
        <v>82</v>
      </c>
      <c r="K29" s="7" t="s">
        <v>83</v>
      </c>
      <c r="L29" s="7" t="s">
        <v>33</v>
      </c>
      <c r="M29" s="7">
        <v>1694914</v>
      </c>
      <c r="N29" s="7">
        <v>167964</v>
      </c>
      <c r="O29" s="7">
        <v>0</v>
      </c>
      <c r="P29" s="7" t="s">
        <v>37</v>
      </c>
      <c r="Q29" s="7" t="s">
        <v>29</v>
      </c>
      <c r="R29" s="7" t="s">
        <v>269</v>
      </c>
    </row>
    <row r="30" spans="1:18" s="7" customFormat="1" ht="12.75" x14ac:dyDescent="0.2">
      <c r="A30" s="8">
        <v>45954</v>
      </c>
      <c r="B30" s="7" t="s">
        <v>112</v>
      </c>
      <c r="C30" s="7" t="s">
        <v>113</v>
      </c>
      <c r="D30" s="7" t="s">
        <v>70</v>
      </c>
      <c r="E30" s="7" t="s">
        <v>81</v>
      </c>
      <c r="F30" s="7" t="s">
        <v>32</v>
      </c>
      <c r="G30" s="7" t="s">
        <v>33</v>
      </c>
      <c r="H30" s="7" t="s">
        <v>34</v>
      </c>
      <c r="I30" s="7" t="s">
        <v>27</v>
      </c>
      <c r="J30" s="7" t="s">
        <v>82</v>
      </c>
      <c r="K30" s="7" t="s">
        <v>83</v>
      </c>
      <c r="L30" s="7" t="s">
        <v>33</v>
      </c>
      <c r="M30" s="7">
        <v>604395</v>
      </c>
      <c r="N30" s="7">
        <v>59895</v>
      </c>
      <c r="O30" s="7">
        <v>0</v>
      </c>
      <c r="P30" s="7" t="s">
        <v>37</v>
      </c>
      <c r="Q30" s="7" t="s">
        <v>29</v>
      </c>
      <c r="R30" s="7" t="s">
        <v>269</v>
      </c>
    </row>
    <row r="31" spans="1:18" s="7" customFormat="1" ht="12.75" x14ac:dyDescent="0.2">
      <c r="A31" s="8">
        <v>45954</v>
      </c>
      <c r="B31" s="7" t="s">
        <v>114</v>
      </c>
      <c r="C31" s="7" t="s">
        <v>115</v>
      </c>
      <c r="D31" s="7" t="s">
        <v>70</v>
      </c>
      <c r="E31" s="7" t="s">
        <v>81</v>
      </c>
      <c r="F31" s="7" t="s">
        <v>32</v>
      </c>
      <c r="G31" s="7" t="s">
        <v>33</v>
      </c>
      <c r="H31" s="7" t="s">
        <v>34</v>
      </c>
      <c r="I31" s="7" t="s">
        <v>27</v>
      </c>
      <c r="J31" s="7" t="s">
        <v>82</v>
      </c>
      <c r="K31" s="7" t="s">
        <v>83</v>
      </c>
      <c r="L31" s="7" t="s">
        <v>33</v>
      </c>
      <c r="M31" s="7">
        <v>147075</v>
      </c>
      <c r="N31" s="7">
        <v>14575</v>
      </c>
      <c r="O31" s="7">
        <v>0</v>
      </c>
      <c r="P31" s="7" t="s">
        <v>37</v>
      </c>
      <c r="Q31" s="7" t="s">
        <v>29</v>
      </c>
      <c r="R31" s="7" t="s">
        <v>269</v>
      </c>
    </row>
    <row r="32" spans="1:18" s="7" customFormat="1" ht="12.75" x14ac:dyDescent="0.2">
      <c r="A32" s="8">
        <v>45954</v>
      </c>
      <c r="B32" s="7" t="s">
        <v>116</v>
      </c>
      <c r="C32" s="7" t="s">
        <v>117</v>
      </c>
      <c r="D32" s="7" t="s">
        <v>70</v>
      </c>
      <c r="E32" s="7" t="s">
        <v>81</v>
      </c>
      <c r="F32" s="7" t="s">
        <v>32</v>
      </c>
      <c r="G32" s="7" t="s">
        <v>33</v>
      </c>
      <c r="H32" s="7" t="s">
        <v>34</v>
      </c>
      <c r="I32" s="7" t="s">
        <v>27</v>
      </c>
      <c r="J32" s="7" t="s">
        <v>82</v>
      </c>
      <c r="K32" s="7" t="s">
        <v>83</v>
      </c>
      <c r="L32" s="7" t="s">
        <v>33</v>
      </c>
      <c r="M32" s="7">
        <v>108225</v>
      </c>
      <c r="N32" s="7">
        <v>10725</v>
      </c>
      <c r="O32" s="7">
        <v>0</v>
      </c>
      <c r="P32" s="7" t="s">
        <v>37</v>
      </c>
      <c r="Q32" s="7" t="s">
        <v>29</v>
      </c>
      <c r="R32" s="7" t="s">
        <v>269</v>
      </c>
    </row>
    <row r="33" spans="1:18" s="7" customFormat="1" ht="12.75" x14ac:dyDescent="0.2">
      <c r="A33" s="8">
        <v>45954</v>
      </c>
      <c r="B33" s="7" t="s">
        <v>118</v>
      </c>
      <c r="C33" s="7" t="s">
        <v>119</v>
      </c>
      <c r="D33" s="7" t="s">
        <v>70</v>
      </c>
      <c r="E33" s="7" t="s">
        <v>99</v>
      </c>
      <c r="F33" s="7" t="s">
        <v>32</v>
      </c>
      <c r="G33" s="7" t="s">
        <v>33</v>
      </c>
      <c r="H33" s="7" t="s">
        <v>34</v>
      </c>
      <c r="I33" s="7" t="s">
        <v>27</v>
      </c>
      <c r="J33" s="7" t="s">
        <v>100</v>
      </c>
      <c r="K33" s="7" t="s">
        <v>101</v>
      </c>
      <c r="L33" s="7" t="s">
        <v>33</v>
      </c>
      <c r="M33" s="7">
        <v>108225</v>
      </c>
      <c r="N33" s="7">
        <v>10725</v>
      </c>
      <c r="O33" s="7">
        <v>0</v>
      </c>
      <c r="P33" s="7" t="s">
        <v>37</v>
      </c>
      <c r="Q33" s="7" t="s">
        <v>29</v>
      </c>
      <c r="R33" s="7" t="s">
        <v>269</v>
      </c>
    </row>
    <row r="34" spans="1:18" s="7" customFormat="1" ht="12.75" x14ac:dyDescent="0.2">
      <c r="A34" s="8">
        <v>45954</v>
      </c>
      <c r="B34" s="7" t="s">
        <v>120</v>
      </c>
      <c r="C34" s="7" t="s">
        <v>121</v>
      </c>
      <c r="D34" s="7" t="s">
        <v>70</v>
      </c>
      <c r="E34" s="7" t="s">
        <v>81</v>
      </c>
      <c r="F34" s="7" t="s">
        <v>122</v>
      </c>
      <c r="G34" s="7" t="s">
        <v>33</v>
      </c>
      <c r="H34" s="7" t="s">
        <v>34</v>
      </c>
      <c r="I34" s="7" t="s">
        <v>27</v>
      </c>
      <c r="J34" s="7" t="s">
        <v>123</v>
      </c>
      <c r="K34" s="7" t="s">
        <v>124</v>
      </c>
      <c r="L34" s="7" t="s">
        <v>33</v>
      </c>
      <c r="M34" s="7">
        <v>269730</v>
      </c>
      <c r="N34" s="7">
        <v>26730</v>
      </c>
      <c r="O34" s="7">
        <v>0</v>
      </c>
      <c r="P34" s="7" t="s">
        <v>37</v>
      </c>
      <c r="Q34" s="7" t="s">
        <v>29</v>
      </c>
      <c r="R34" s="7" t="s">
        <v>269</v>
      </c>
    </row>
    <row r="35" spans="1:18" s="7" customFormat="1" ht="12.75" x14ac:dyDescent="0.2">
      <c r="A35" s="8">
        <v>45955</v>
      </c>
      <c r="B35" s="7" t="s">
        <v>125</v>
      </c>
      <c r="C35" s="7" t="s">
        <v>126</v>
      </c>
      <c r="D35" s="7" t="s">
        <v>70</v>
      </c>
      <c r="E35" s="7" t="s">
        <v>81</v>
      </c>
      <c r="F35" s="7" t="s">
        <v>32</v>
      </c>
      <c r="G35" s="7" t="s">
        <v>33</v>
      </c>
      <c r="H35" s="7" t="s">
        <v>34</v>
      </c>
      <c r="I35" s="7" t="s">
        <v>27</v>
      </c>
      <c r="J35" s="7" t="s">
        <v>82</v>
      </c>
      <c r="K35" s="7" t="s">
        <v>83</v>
      </c>
      <c r="L35" s="7" t="s">
        <v>33</v>
      </c>
      <c r="M35" s="7">
        <v>527250</v>
      </c>
      <c r="N35" s="7">
        <v>52250</v>
      </c>
      <c r="O35" s="7">
        <v>0</v>
      </c>
      <c r="P35" s="7" t="s">
        <v>37</v>
      </c>
      <c r="Q35" s="7" t="s">
        <v>29</v>
      </c>
      <c r="R35" s="7" t="s">
        <v>269</v>
      </c>
    </row>
    <row r="36" spans="1:18" s="7" customFormat="1" ht="12.75" x14ac:dyDescent="0.2">
      <c r="A36" s="8">
        <v>45957</v>
      </c>
      <c r="B36" s="7" t="s">
        <v>127</v>
      </c>
      <c r="C36" s="7" t="s">
        <v>128</v>
      </c>
      <c r="D36" s="7" t="s">
        <v>70</v>
      </c>
      <c r="E36" s="7" t="s">
        <v>129</v>
      </c>
      <c r="F36" s="7" t="s">
        <v>32</v>
      </c>
      <c r="G36" s="7" t="s">
        <v>33</v>
      </c>
      <c r="H36" s="7" t="s">
        <v>34</v>
      </c>
      <c r="I36" s="7" t="s">
        <v>27</v>
      </c>
      <c r="J36" s="7" t="s">
        <v>72</v>
      </c>
      <c r="K36" s="7" t="s">
        <v>73</v>
      </c>
      <c r="L36" s="7" t="s">
        <v>33</v>
      </c>
      <c r="M36" s="7">
        <v>380512</v>
      </c>
      <c r="N36" s="7">
        <v>37708</v>
      </c>
      <c r="O36" s="7">
        <v>0</v>
      </c>
      <c r="P36" s="7" t="s">
        <v>37</v>
      </c>
      <c r="Q36" s="7" t="s">
        <v>29</v>
      </c>
      <c r="R36" s="7" t="s">
        <v>267</v>
      </c>
    </row>
    <row r="37" spans="1:18" s="7" customFormat="1" ht="12.75" x14ac:dyDescent="0.2">
      <c r="A37" s="8">
        <v>45957</v>
      </c>
      <c r="B37" s="7" t="s">
        <v>130</v>
      </c>
      <c r="C37" s="7" t="s">
        <v>105</v>
      </c>
      <c r="D37" s="7" t="s">
        <v>70</v>
      </c>
      <c r="E37" s="7" t="s">
        <v>99</v>
      </c>
      <c r="F37" s="7" t="s">
        <v>32</v>
      </c>
      <c r="G37" s="7" t="s">
        <v>33</v>
      </c>
      <c r="H37" s="7" t="s">
        <v>34</v>
      </c>
      <c r="I37" s="7" t="s">
        <v>27</v>
      </c>
      <c r="J37" s="7" t="s">
        <v>100</v>
      </c>
      <c r="K37" s="7" t="s">
        <v>101</v>
      </c>
      <c r="L37" s="7" t="s">
        <v>33</v>
      </c>
      <c r="M37" s="7">
        <v>2354865</v>
      </c>
      <c r="N37" s="7">
        <v>233365</v>
      </c>
      <c r="O37" s="7">
        <v>0</v>
      </c>
      <c r="P37" s="7" t="s">
        <v>37</v>
      </c>
      <c r="Q37" s="7" t="s">
        <v>29</v>
      </c>
      <c r="R37" s="7" t="s">
        <v>269</v>
      </c>
    </row>
    <row r="38" spans="1:18" s="7" customFormat="1" ht="12.75" x14ac:dyDescent="0.2">
      <c r="A38" s="8">
        <v>45957</v>
      </c>
      <c r="B38" s="7" t="s">
        <v>131</v>
      </c>
      <c r="C38" s="7" t="s">
        <v>103</v>
      </c>
      <c r="D38" s="7" t="s">
        <v>70</v>
      </c>
      <c r="E38" s="7" t="s">
        <v>99</v>
      </c>
      <c r="F38" s="7" t="s">
        <v>32</v>
      </c>
      <c r="G38" s="7" t="s">
        <v>33</v>
      </c>
      <c r="H38" s="7" t="s">
        <v>34</v>
      </c>
      <c r="I38" s="7" t="s">
        <v>27</v>
      </c>
      <c r="J38" s="7" t="s">
        <v>100</v>
      </c>
      <c r="K38" s="7" t="s">
        <v>101</v>
      </c>
      <c r="L38" s="7" t="s">
        <v>33</v>
      </c>
      <c r="M38" s="7">
        <v>234476</v>
      </c>
      <c r="N38" s="7">
        <v>23236</v>
      </c>
      <c r="O38" s="7">
        <v>0</v>
      </c>
      <c r="P38" s="7" t="s">
        <v>37</v>
      </c>
      <c r="Q38" s="7" t="s">
        <v>29</v>
      </c>
      <c r="R38" s="7" t="s">
        <v>269</v>
      </c>
    </row>
    <row r="39" spans="1:18" s="7" customFormat="1" ht="12.75" x14ac:dyDescent="0.2">
      <c r="A39" s="8">
        <v>45957</v>
      </c>
      <c r="B39" s="7" t="s">
        <v>132</v>
      </c>
      <c r="C39" s="7" t="s">
        <v>133</v>
      </c>
      <c r="D39" s="7" t="s">
        <v>70</v>
      </c>
      <c r="E39" s="7" t="s">
        <v>99</v>
      </c>
      <c r="F39" s="7" t="s">
        <v>32</v>
      </c>
      <c r="G39" s="7" t="s">
        <v>33</v>
      </c>
      <c r="H39" s="7" t="s">
        <v>34</v>
      </c>
      <c r="I39" s="7" t="s">
        <v>27</v>
      </c>
      <c r="J39" s="7" t="s">
        <v>100</v>
      </c>
      <c r="K39" s="7" t="s">
        <v>101</v>
      </c>
      <c r="L39" s="7" t="s">
        <v>33</v>
      </c>
      <c r="M39" s="7">
        <v>19032948</v>
      </c>
      <c r="N39" s="7">
        <v>1886148</v>
      </c>
      <c r="O39" s="7">
        <v>0</v>
      </c>
      <c r="P39" s="7" t="s">
        <v>37</v>
      </c>
      <c r="Q39" s="7" t="s">
        <v>29</v>
      </c>
      <c r="R39" s="7" t="s">
        <v>269</v>
      </c>
    </row>
    <row r="40" spans="1:18" s="7" customFormat="1" ht="12.75" x14ac:dyDescent="0.2">
      <c r="A40" s="8">
        <v>45957</v>
      </c>
      <c r="B40" s="7" t="s">
        <v>134</v>
      </c>
      <c r="C40" s="7" t="s">
        <v>105</v>
      </c>
      <c r="D40" s="7" t="s">
        <v>70</v>
      </c>
      <c r="E40" s="7" t="s">
        <v>99</v>
      </c>
      <c r="F40" s="7" t="s">
        <v>32</v>
      </c>
      <c r="G40" s="7" t="s">
        <v>33</v>
      </c>
      <c r="H40" s="7" t="s">
        <v>34</v>
      </c>
      <c r="I40" s="7" t="s">
        <v>27</v>
      </c>
      <c r="J40" s="7" t="s">
        <v>100</v>
      </c>
      <c r="K40" s="7" t="s">
        <v>101</v>
      </c>
      <c r="L40" s="7" t="s">
        <v>33</v>
      </c>
      <c r="M40" s="7">
        <v>201465</v>
      </c>
      <c r="N40" s="7">
        <v>19965</v>
      </c>
      <c r="O40" s="7">
        <v>0</v>
      </c>
      <c r="P40" s="7" t="s">
        <v>37</v>
      </c>
      <c r="Q40" s="7" t="s">
        <v>29</v>
      </c>
      <c r="R40" s="7" t="s">
        <v>269</v>
      </c>
    </row>
    <row r="41" spans="1:18" s="7" customFormat="1" ht="12.75" x14ac:dyDescent="0.2">
      <c r="A41" s="8">
        <v>45958</v>
      </c>
      <c r="B41" s="7" t="s">
        <v>135</v>
      </c>
      <c r="C41" s="7" t="s">
        <v>110</v>
      </c>
      <c r="D41" s="7" t="s">
        <v>70</v>
      </c>
      <c r="E41" s="7" t="s">
        <v>99</v>
      </c>
      <c r="F41" s="7" t="s">
        <v>32</v>
      </c>
      <c r="G41" s="7" t="s">
        <v>33</v>
      </c>
      <c r="H41" s="7" t="s">
        <v>34</v>
      </c>
      <c r="I41" s="7" t="s">
        <v>27</v>
      </c>
      <c r="J41" s="7" t="s">
        <v>100</v>
      </c>
      <c r="K41" s="7" t="s">
        <v>101</v>
      </c>
      <c r="L41" s="7" t="s">
        <v>33</v>
      </c>
      <c r="M41" s="7">
        <v>727605</v>
      </c>
      <c r="N41" s="7">
        <v>72105</v>
      </c>
      <c r="O41" s="7">
        <v>0</v>
      </c>
      <c r="P41" s="7" t="s">
        <v>37</v>
      </c>
      <c r="Q41" s="7" t="s">
        <v>29</v>
      </c>
      <c r="R41" s="7" t="s">
        <v>269</v>
      </c>
    </row>
    <row r="42" spans="1:18" s="7" customFormat="1" ht="12.75" x14ac:dyDescent="0.2">
      <c r="A42" s="8">
        <v>45944</v>
      </c>
      <c r="B42" s="7" t="s">
        <v>136</v>
      </c>
      <c r="C42" s="7" t="s">
        <v>137</v>
      </c>
      <c r="D42" s="7" t="s">
        <v>138</v>
      </c>
      <c r="E42" s="7" t="s">
        <v>139</v>
      </c>
      <c r="F42" s="7" t="s">
        <v>32</v>
      </c>
      <c r="G42" s="7" t="s">
        <v>33</v>
      </c>
      <c r="H42" s="7" t="s">
        <v>34</v>
      </c>
      <c r="I42" s="7" t="s">
        <v>140</v>
      </c>
      <c r="J42" s="7" t="s">
        <v>82</v>
      </c>
      <c r="K42" s="7" t="s">
        <v>141</v>
      </c>
      <c r="L42" s="7" t="s">
        <v>33</v>
      </c>
      <c r="M42" s="7">
        <v>201465</v>
      </c>
      <c r="N42" s="7">
        <v>19965</v>
      </c>
      <c r="O42" s="7">
        <v>0</v>
      </c>
      <c r="P42" s="7" t="s">
        <v>37</v>
      </c>
      <c r="Q42" s="7" t="s">
        <v>29</v>
      </c>
      <c r="R42" s="7" t="s">
        <v>269</v>
      </c>
    </row>
    <row r="43" spans="1:18" s="7" customFormat="1" ht="12.75" x14ac:dyDescent="0.2">
      <c r="A43" s="8">
        <v>45947</v>
      </c>
      <c r="B43" s="7" t="s">
        <v>142</v>
      </c>
      <c r="C43" s="7" t="s">
        <v>143</v>
      </c>
      <c r="D43" s="7" t="s">
        <v>138</v>
      </c>
      <c r="E43" s="7" t="s">
        <v>139</v>
      </c>
      <c r="F43" s="7" t="s">
        <v>32</v>
      </c>
      <c r="G43" s="7" t="s">
        <v>33</v>
      </c>
      <c r="H43" s="7" t="s">
        <v>34</v>
      </c>
      <c r="I43" s="7" t="s">
        <v>140</v>
      </c>
      <c r="J43" s="7" t="s">
        <v>82</v>
      </c>
      <c r="K43" s="7" t="s">
        <v>141</v>
      </c>
      <c r="L43" s="7" t="s">
        <v>33</v>
      </c>
      <c r="M43" s="7">
        <v>365745</v>
      </c>
      <c r="N43" s="7">
        <v>36245</v>
      </c>
      <c r="O43" s="7">
        <v>0</v>
      </c>
      <c r="P43" s="7" t="s">
        <v>37</v>
      </c>
      <c r="Q43" s="7" t="s">
        <v>29</v>
      </c>
      <c r="R43" s="7" t="s">
        <v>269</v>
      </c>
    </row>
    <row r="44" spans="1:18" s="7" customFormat="1" ht="12.75" x14ac:dyDescent="0.2">
      <c r="A44" s="8">
        <v>45947</v>
      </c>
      <c r="B44" s="7" t="s">
        <v>144</v>
      </c>
      <c r="C44" s="7" t="s">
        <v>145</v>
      </c>
      <c r="D44" s="7" t="s">
        <v>138</v>
      </c>
      <c r="E44" s="7" t="s">
        <v>139</v>
      </c>
      <c r="F44" s="7" t="s">
        <v>32</v>
      </c>
      <c r="G44" s="7" t="s">
        <v>33</v>
      </c>
      <c r="H44" s="7" t="s">
        <v>34</v>
      </c>
      <c r="I44" s="7" t="s">
        <v>140</v>
      </c>
      <c r="J44" s="7" t="s">
        <v>82</v>
      </c>
      <c r="K44" s="7" t="s">
        <v>141</v>
      </c>
      <c r="L44" s="7" t="s">
        <v>33</v>
      </c>
      <c r="M44" s="7">
        <v>852480</v>
      </c>
      <c r="N44" s="7">
        <v>84480</v>
      </c>
      <c r="O44" s="7">
        <v>0</v>
      </c>
      <c r="P44" s="7" t="s">
        <v>37</v>
      </c>
      <c r="Q44" s="7" t="s">
        <v>29</v>
      </c>
      <c r="R44" s="7" t="s">
        <v>269</v>
      </c>
    </row>
    <row r="45" spans="1:18" s="7" customFormat="1" ht="12.75" x14ac:dyDescent="0.2">
      <c r="A45" s="8">
        <v>45947</v>
      </c>
      <c r="B45" s="7" t="s">
        <v>146</v>
      </c>
      <c r="C45" s="7" t="s">
        <v>147</v>
      </c>
      <c r="D45" s="7" t="s">
        <v>138</v>
      </c>
      <c r="E45" s="7" t="s">
        <v>139</v>
      </c>
      <c r="F45" s="7" t="s">
        <v>32</v>
      </c>
      <c r="G45" s="7" t="s">
        <v>33</v>
      </c>
      <c r="H45" s="7" t="s">
        <v>34</v>
      </c>
      <c r="I45" s="7" t="s">
        <v>140</v>
      </c>
      <c r="J45" s="7" t="s">
        <v>82</v>
      </c>
      <c r="K45" s="7" t="s">
        <v>141</v>
      </c>
      <c r="L45" s="7" t="s">
        <v>33</v>
      </c>
      <c r="M45" s="7">
        <v>799200</v>
      </c>
      <c r="N45" s="7">
        <v>79200</v>
      </c>
      <c r="O45" s="7">
        <v>0</v>
      </c>
      <c r="P45" s="7" t="s">
        <v>37</v>
      </c>
      <c r="Q45" s="7" t="s">
        <v>29</v>
      </c>
      <c r="R45" s="7" t="s">
        <v>269</v>
      </c>
    </row>
    <row r="46" spans="1:18" s="7" customFormat="1" ht="12.75" x14ac:dyDescent="0.2">
      <c r="A46" s="8">
        <v>45947</v>
      </c>
      <c r="B46" s="7" t="s">
        <v>148</v>
      </c>
      <c r="C46" s="7" t="s">
        <v>149</v>
      </c>
      <c r="D46" s="7" t="s">
        <v>138</v>
      </c>
      <c r="E46" s="7" t="s">
        <v>139</v>
      </c>
      <c r="F46" s="7" t="s">
        <v>32</v>
      </c>
      <c r="G46" s="7" t="s">
        <v>33</v>
      </c>
      <c r="H46" s="7" t="s">
        <v>34</v>
      </c>
      <c r="I46" s="7" t="s">
        <v>140</v>
      </c>
      <c r="J46" s="7" t="s">
        <v>82</v>
      </c>
      <c r="K46" s="7" t="s">
        <v>141</v>
      </c>
      <c r="L46" s="7" t="s">
        <v>33</v>
      </c>
      <c r="M46" s="7">
        <v>213120</v>
      </c>
      <c r="N46" s="7">
        <v>21120</v>
      </c>
      <c r="O46" s="7">
        <v>0</v>
      </c>
      <c r="P46" s="7" t="s">
        <v>37</v>
      </c>
      <c r="Q46" s="7" t="s">
        <v>29</v>
      </c>
      <c r="R46" s="7" t="s">
        <v>269</v>
      </c>
    </row>
    <row r="47" spans="1:18" s="7" customFormat="1" ht="12.75" x14ac:dyDescent="0.2">
      <c r="A47" s="8">
        <v>45947</v>
      </c>
      <c r="B47" s="7" t="s">
        <v>150</v>
      </c>
      <c r="C47" s="7" t="s">
        <v>143</v>
      </c>
      <c r="D47" s="7" t="s">
        <v>138</v>
      </c>
      <c r="E47" s="7" t="s">
        <v>139</v>
      </c>
      <c r="F47" s="7" t="s">
        <v>32</v>
      </c>
      <c r="G47" s="7" t="s">
        <v>33</v>
      </c>
      <c r="H47" s="7" t="s">
        <v>34</v>
      </c>
      <c r="I47" s="7" t="s">
        <v>140</v>
      </c>
      <c r="J47" s="7" t="s">
        <v>82</v>
      </c>
      <c r="K47" s="7" t="s">
        <v>141</v>
      </c>
      <c r="L47" s="7" t="s">
        <v>33</v>
      </c>
      <c r="M47" s="7">
        <v>236985</v>
      </c>
      <c r="N47" s="7">
        <v>23485</v>
      </c>
      <c r="O47" s="7">
        <v>0</v>
      </c>
      <c r="P47" s="7" t="s">
        <v>37</v>
      </c>
      <c r="Q47" s="7" t="s">
        <v>29</v>
      </c>
      <c r="R47" s="7" t="s">
        <v>269</v>
      </c>
    </row>
    <row r="48" spans="1:18" s="7" customFormat="1" ht="12.75" x14ac:dyDescent="0.2">
      <c r="A48" s="8">
        <v>45947</v>
      </c>
      <c r="B48" s="7" t="s">
        <v>151</v>
      </c>
      <c r="C48" s="7" t="s">
        <v>145</v>
      </c>
      <c r="D48" s="7" t="s">
        <v>138</v>
      </c>
      <c r="E48" s="7" t="s">
        <v>139</v>
      </c>
      <c r="F48" s="7" t="s">
        <v>32</v>
      </c>
      <c r="G48" s="7" t="s">
        <v>33</v>
      </c>
      <c r="H48" s="7" t="s">
        <v>34</v>
      </c>
      <c r="I48" s="7" t="s">
        <v>140</v>
      </c>
      <c r="J48" s="7" t="s">
        <v>82</v>
      </c>
      <c r="K48" s="7" t="s">
        <v>141</v>
      </c>
      <c r="L48" s="7" t="s">
        <v>33</v>
      </c>
      <c r="M48" s="7">
        <v>2077920</v>
      </c>
      <c r="N48" s="7">
        <v>205920</v>
      </c>
      <c r="O48" s="7">
        <v>0</v>
      </c>
      <c r="P48" s="7" t="s">
        <v>37</v>
      </c>
      <c r="Q48" s="7" t="s">
        <v>29</v>
      </c>
      <c r="R48" s="7" t="s">
        <v>269</v>
      </c>
    </row>
    <row r="49" spans="1:18" s="7" customFormat="1" ht="12.75" x14ac:dyDescent="0.2">
      <c r="A49" s="8">
        <v>45947</v>
      </c>
      <c r="B49" s="7" t="s">
        <v>152</v>
      </c>
      <c r="C49" s="7" t="s">
        <v>153</v>
      </c>
      <c r="D49" s="7" t="s">
        <v>138</v>
      </c>
      <c r="E49" s="7" t="s">
        <v>139</v>
      </c>
      <c r="F49" s="7" t="s">
        <v>32</v>
      </c>
      <c r="G49" s="7" t="s">
        <v>33</v>
      </c>
      <c r="H49" s="7" t="s">
        <v>34</v>
      </c>
      <c r="I49" s="7" t="s">
        <v>140</v>
      </c>
      <c r="J49" s="7" t="s">
        <v>82</v>
      </c>
      <c r="K49" s="7" t="s">
        <v>141</v>
      </c>
      <c r="L49" s="7" t="s">
        <v>33</v>
      </c>
      <c r="M49" s="7">
        <v>166500</v>
      </c>
      <c r="N49" s="7">
        <v>16500</v>
      </c>
      <c r="O49" s="7">
        <v>0</v>
      </c>
      <c r="P49" s="7" t="s">
        <v>37</v>
      </c>
      <c r="Q49" s="7" t="s">
        <v>29</v>
      </c>
      <c r="R49" s="7" t="s">
        <v>269</v>
      </c>
    </row>
    <row r="50" spans="1:18" s="7" customFormat="1" ht="12.75" x14ac:dyDescent="0.2">
      <c r="A50" s="8">
        <v>45947</v>
      </c>
      <c r="B50" s="7" t="s">
        <v>154</v>
      </c>
      <c r="C50" s="7" t="s">
        <v>147</v>
      </c>
      <c r="D50" s="7" t="s">
        <v>138</v>
      </c>
      <c r="E50" s="7" t="s">
        <v>139</v>
      </c>
      <c r="F50" s="7" t="s">
        <v>32</v>
      </c>
      <c r="G50" s="7" t="s">
        <v>33</v>
      </c>
      <c r="H50" s="7" t="s">
        <v>34</v>
      </c>
      <c r="I50" s="7" t="s">
        <v>140</v>
      </c>
      <c r="J50" s="7" t="s">
        <v>82</v>
      </c>
      <c r="K50" s="7" t="s">
        <v>141</v>
      </c>
      <c r="L50" s="7" t="s">
        <v>33</v>
      </c>
      <c r="M50" s="7">
        <v>532800</v>
      </c>
      <c r="N50" s="7">
        <v>52800</v>
      </c>
      <c r="O50" s="7">
        <v>0</v>
      </c>
      <c r="P50" s="7" t="s">
        <v>37</v>
      </c>
      <c r="Q50" s="7" t="s">
        <v>29</v>
      </c>
      <c r="R50" s="7" t="s">
        <v>269</v>
      </c>
    </row>
    <row r="51" spans="1:18" s="7" customFormat="1" ht="12.75" x14ac:dyDescent="0.2">
      <c r="A51" s="8">
        <v>45950</v>
      </c>
      <c r="B51" s="7" t="s">
        <v>155</v>
      </c>
      <c r="C51" s="7" t="s">
        <v>156</v>
      </c>
      <c r="D51" s="7" t="s">
        <v>138</v>
      </c>
      <c r="E51" s="7" t="s">
        <v>139</v>
      </c>
      <c r="F51" s="7" t="s">
        <v>32</v>
      </c>
      <c r="G51" s="7" t="s">
        <v>33</v>
      </c>
      <c r="H51" s="7" t="s">
        <v>34</v>
      </c>
      <c r="I51" s="7" t="s">
        <v>140</v>
      </c>
      <c r="J51" s="7" t="s">
        <v>82</v>
      </c>
      <c r="K51" s="7" t="s">
        <v>141</v>
      </c>
      <c r="L51" s="7" t="s">
        <v>33</v>
      </c>
      <c r="M51" s="7">
        <v>4270725</v>
      </c>
      <c r="N51" s="7">
        <v>423225</v>
      </c>
      <c r="O51" s="7">
        <v>0</v>
      </c>
      <c r="P51" s="7" t="s">
        <v>37</v>
      </c>
      <c r="Q51" s="7" t="s">
        <v>29</v>
      </c>
      <c r="R51" s="7" t="s">
        <v>269</v>
      </c>
    </row>
    <row r="52" spans="1:18" s="7" customFormat="1" ht="12.75" x14ac:dyDescent="0.2">
      <c r="A52" s="8">
        <v>45950</v>
      </c>
      <c r="B52" s="7" t="s">
        <v>157</v>
      </c>
      <c r="C52" s="7" t="s">
        <v>158</v>
      </c>
      <c r="D52" s="7" t="s">
        <v>138</v>
      </c>
      <c r="E52" s="7" t="s">
        <v>159</v>
      </c>
      <c r="F52" s="7" t="s">
        <v>32</v>
      </c>
      <c r="G52" s="7" t="s">
        <v>33</v>
      </c>
      <c r="H52" s="7" t="s">
        <v>34</v>
      </c>
      <c r="I52" s="7" t="s">
        <v>140</v>
      </c>
      <c r="J52" s="7" t="s">
        <v>160</v>
      </c>
      <c r="K52" s="7" t="s">
        <v>123</v>
      </c>
      <c r="L52" s="7" t="s">
        <v>33</v>
      </c>
      <c r="M52" s="7">
        <v>197435</v>
      </c>
      <c r="N52" s="7">
        <v>19565</v>
      </c>
      <c r="O52" s="7">
        <v>0</v>
      </c>
      <c r="P52" s="7" t="s">
        <v>37</v>
      </c>
      <c r="Q52" s="7" t="s">
        <v>29</v>
      </c>
      <c r="R52" s="7" t="s">
        <v>267</v>
      </c>
    </row>
    <row r="53" spans="1:18" s="7" customFormat="1" ht="12.75" x14ac:dyDescent="0.2">
      <c r="A53" s="8">
        <v>45951</v>
      </c>
      <c r="B53" s="7" t="s">
        <v>161</v>
      </c>
      <c r="C53" s="7" t="s">
        <v>143</v>
      </c>
      <c r="D53" s="7" t="s">
        <v>138</v>
      </c>
      <c r="E53" s="7" t="s">
        <v>139</v>
      </c>
      <c r="F53" s="7" t="s">
        <v>32</v>
      </c>
      <c r="G53" s="7" t="s">
        <v>33</v>
      </c>
      <c r="H53" s="7" t="s">
        <v>34</v>
      </c>
      <c r="I53" s="7" t="s">
        <v>140</v>
      </c>
      <c r="J53" s="7" t="s">
        <v>82</v>
      </c>
      <c r="K53" s="7" t="s">
        <v>141</v>
      </c>
      <c r="L53" s="7" t="s">
        <v>33</v>
      </c>
      <c r="M53" s="7">
        <v>304806</v>
      </c>
      <c r="N53" s="7">
        <v>30206</v>
      </c>
      <c r="O53" s="7">
        <v>0</v>
      </c>
      <c r="P53" s="7" t="s">
        <v>37</v>
      </c>
      <c r="Q53" s="7" t="s">
        <v>29</v>
      </c>
      <c r="R53" s="7" t="s">
        <v>269</v>
      </c>
    </row>
    <row r="54" spans="1:18" s="7" customFormat="1" ht="12.75" x14ac:dyDescent="0.2">
      <c r="A54" s="8">
        <v>45951</v>
      </c>
      <c r="B54" s="7" t="s">
        <v>162</v>
      </c>
      <c r="C54" s="7" t="s">
        <v>145</v>
      </c>
      <c r="D54" s="7" t="s">
        <v>138</v>
      </c>
      <c r="E54" s="7" t="s">
        <v>139</v>
      </c>
      <c r="F54" s="7" t="s">
        <v>32</v>
      </c>
      <c r="G54" s="7" t="s">
        <v>33</v>
      </c>
      <c r="H54" s="7" t="s">
        <v>34</v>
      </c>
      <c r="I54" s="7" t="s">
        <v>140</v>
      </c>
      <c r="J54" s="7" t="s">
        <v>82</v>
      </c>
      <c r="K54" s="7" t="s">
        <v>141</v>
      </c>
      <c r="L54" s="7" t="s">
        <v>33</v>
      </c>
      <c r="M54" s="7">
        <v>53280</v>
      </c>
      <c r="N54" s="7">
        <v>5280</v>
      </c>
      <c r="O54" s="7">
        <v>0</v>
      </c>
      <c r="P54" s="7" t="s">
        <v>37</v>
      </c>
      <c r="Q54" s="7" t="s">
        <v>29</v>
      </c>
      <c r="R54" s="7" t="s">
        <v>269</v>
      </c>
    </row>
    <row r="55" spans="1:18" s="7" customFormat="1" ht="12.75" x14ac:dyDescent="0.2">
      <c r="A55" s="8">
        <v>45951</v>
      </c>
      <c r="B55" s="7" t="s">
        <v>163</v>
      </c>
      <c r="C55" s="7" t="s">
        <v>147</v>
      </c>
      <c r="D55" s="7" t="s">
        <v>138</v>
      </c>
      <c r="E55" s="7" t="s">
        <v>139</v>
      </c>
      <c r="F55" s="7" t="s">
        <v>32</v>
      </c>
      <c r="G55" s="7" t="s">
        <v>33</v>
      </c>
      <c r="H55" s="7" t="s">
        <v>34</v>
      </c>
      <c r="I55" s="7" t="s">
        <v>140</v>
      </c>
      <c r="J55" s="7" t="s">
        <v>82</v>
      </c>
      <c r="K55" s="7" t="s">
        <v>141</v>
      </c>
      <c r="L55" s="7" t="s">
        <v>33</v>
      </c>
      <c r="M55" s="7">
        <v>1332000</v>
      </c>
      <c r="N55" s="7">
        <v>132000</v>
      </c>
      <c r="O55" s="7">
        <v>0</v>
      </c>
      <c r="P55" s="7" t="s">
        <v>37</v>
      </c>
      <c r="Q55" s="7" t="s">
        <v>29</v>
      </c>
      <c r="R55" s="7" t="s">
        <v>269</v>
      </c>
    </row>
    <row r="56" spans="1:18" s="7" customFormat="1" ht="12.75" x14ac:dyDescent="0.2">
      <c r="A56" s="8">
        <v>45951</v>
      </c>
      <c r="B56" s="7" t="s">
        <v>164</v>
      </c>
      <c r="C56" s="7" t="s">
        <v>149</v>
      </c>
      <c r="D56" s="7" t="s">
        <v>138</v>
      </c>
      <c r="E56" s="7" t="s">
        <v>139</v>
      </c>
      <c r="F56" s="7" t="s">
        <v>32</v>
      </c>
      <c r="G56" s="7" t="s">
        <v>33</v>
      </c>
      <c r="H56" s="7" t="s">
        <v>34</v>
      </c>
      <c r="I56" s="7" t="s">
        <v>140</v>
      </c>
      <c r="J56" s="7" t="s">
        <v>82</v>
      </c>
      <c r="K56" s="7" t="s">
        <v>141</v>
      </c>
      <c r="L56" s="7" t="s">
        <v>33</v>
      </c>
      <c r="M56" s="7">
        <v>639360</v>
      </c>
      <c r="N56" s="7">
        <v>63360</v>
      </c>
      <c r="O56" s="7">
        <v>0</v>
      </c>
      <c r="P56" s="7" t="s">
        <v>37</v>
      </c>
      <c r="Q56" s="7" t="s">
        <v>29</v>
      </c>
      <c r="R56" s="7" t="s">
        <v>269</v>
      </c>
    </row>
    <row r="57" spans="1:18" s="7" customFormat="1" ht="12.75" x14ac:dyDescent="0.2">
      <c r="A57" s="8">
        <v>45951</v>
      </c>
      <c r="B57" s="7" t="s">
        <v>165</v>
      </c>
      <c r="C57" s="7" t="s">
        <v>143</v>
      </c>
      <c r="D57" s="7" t="s">
        <v>138</v>
      </c>
      <c r="E57" s="7" t="s">
        <v>139</v>
      </c>
      <c r="F57" s="7" t="s">
        <v>32</v>
      </c>
      <c r="G57" s="7" t="s">
        <v>33</v>
      </c>
      <c r="H57" s="7" t="s">
        <v>34</v>
      </c>
      <c r="I57" s="7" t="s">
        <v>140</v>
      </c>
      <c r="J57" s="7" t="s">
        <v>82</v>
      </c>
      <c r="K57" s="7" t="s">
        <v>141</v>
      </c>
      <c r="L57" s="7" t="s">
        <v>33</v>
      </c>
      <c r="M57" s="7">
        <v>244755</v>
      </c>
      <c r="N57" s="7">
        <v>24255</v>
      </c>
      <c r="O57" s="7">
        <v>0</v>
      </c>
      <c r="P57" s="7" t="s">
        <v>37</v>
      </c>
      <c r="Q57" s="7" t="s">
        <v>29</v>
      </c>
      <c r="R57" s="7" t="s">
        <v>269</v>
      </c>
    </row>
    <row r="58" spans="1:18" s="7" customFormat="1" ht="12.75" x14ac:dyDescent="0.2">
      <c r="A58" s="8">
        <v>45953</v>
      </c>
      <c r="B58" s="7" t="s">
        <v>166</v>
      </c>
      <c r="C58" s="7" t="s">
        <v>145</v>
      </c>
      <c r="D58" s="7" t="s">
        <v>138</v>
      </c>
      <c r="E58" s="7" t="s">
        <v>139</v>
      </c>
      <c r="F58" s="7" t="s">
        <v>32</v>
      </c>
      <c r="G58" s="7" t="s">
        <v>33</v>
      </c>
      <c r="H58" s="7" t="s">
        <v>34</v>
      </c>
      <c r="I58" s="7" t="s">
        <v>140</v>
      </c>
      <c r="J58" s="7" t="s">
        <v>82</v>
      </c>
      <c r="K58" s="7" t="s">
        <v>141</v>
      </c>
      <c r="L58" s="7" t="s">
        <v>33</v>
      </c>
      <c r="M58" s="7">
        <v>5328000</v>
      </c>
      <c r="N58" s="7">
        <v>528000</v>
      </c>
      <c r="O58" s="7">
        <v>0</v>
      </c>
      <c r="P58" s="7" t="s">
        <v>37</v>
      </c>
      <c r="Q58" s="7" t="s">
        <v>29</v>
      </c>
      <c r="R58" s="7" t="s">
        <v>269</v>
      </c>
    </row>
    <row r="59" spans="1:18" s="7" customFormat="1" ht="12.75" x14ac:dyDescent="0.2">
      <c r="A59" s="8">
        <v>45953</v>
      </c>
      <c r="B59" s="7" t="s">
        <v>167</v>
      </c>
      <c r="C59" s="7" t="s">
        <v>168</v>
      </c>
      <c r="D59" s="7" t="s">
        <v>138</v>
      </c>
      <c r="E59" s="7" t="s">
        <v>169</v>
      </c>
      <c r="F59" s="7" t="s">
        <v>32</v>
      </c>
      <c r="G59" s="7" t="s">
        <v>33</v>
      </c>
      <c r="H59" s="7" t="s">
        <v>34</v>
      </c>
      <c r="I59" s="7" t="s">
        <v>140</v>
      </c>
      <c r="J59" s="7" t="s">
        <v>160</v>
      </c>
      <c r="K59" s="7" t="s">
        <v>123</v>
      </c>
      <c r="L59" s="7" t="s">
        <v>33</v>
      </c>
      <c r="M59" s="7">
        <v>4539581</v>
      </c>
      <c r="N59" s="7">
        <v>449868</v>
      </c>
      <c r="O59" s="7">
        <v>0</v>
      </c>
      <c r="P59" s="7" t="s">
        <v>37</v>
      </c>
      <c r="Q59" s="7" t="s">
        <v>29</v>
      </c>
      <c r="R59" s="7" t="s">
        <v>267</v>
      </c>
    </row>
    <row r="60" spans="1:18" s="7" customFormat="1" ht="12.75" x14ac:dyDescent="0.2">
      <c r="A60" s="8">
        <v>45953</v>
      </c>
      <c r="B60" s="7" t="s">
        <v>170</v>
      </c>
      <c r="C60" s="7" t="s">
        <v>171</v>
      </c>
      <c r="D60" s="7" t="s">
        <v>138</v>
      </c>
      <c r="E60" s="7" t="s">
        <v>172</v>
      </c>
      <c r="F60" s="7" t="s">
        <v>32</v>
      </c>
      <c r="G60" s="7" t="s">
        <v>33</v>
      </c>
      <c r="H60" s="7" t="s">
        <v>34</v>
      </c>
      <c r="I60" s="7" t="s">
        <v>140</v>
      </c>
      <c r="J60" s="7" t="s">
        <v>100</v>
      </c>
      <c r="K60" s="7" t="s">
        <v>173</v>
      </c>
      <c r="L60" s="7" t="s">
        <v>33</v>
      </c>
      <c r="M60" s="7">
        <v>69375</v>
      </c>
      <c r="N60" s="7">
        <v>6875</v>
      </c>
      <c r="O60" s="7">
        <v>0</v>
      </c>
      <c r="P60" s="7" t="s">
        <v>37</v>
      </c>
      <c r="Q60" s="7" t="s">
        <v>29</v>
      </c>
      <c r="R60" s="7" t="s">
        <v>269</v>
      </c>
    </row>
    <row r="61" spans="1:18" s="7" customFormat="1" ht="12.75" x14ac:dyDescent="0.2">
      <c r="A61" s="8">
        <v>45953</v>
      </c>
      <c r="B61" s="7" t="s">
        <v>174</v>
      </c>
      <c r="C61" s="7" t="s">
        <v>175</v>
      </c>
      <c r="D61" s="7" t="s">
        <v>138</v>
      </c>
      <c r="E61" s="7" t="s">
        <v>172</v>
      </c>
      <c r="F61" s="7" t="s">
        <v>32</v>
      </c>
      <c r="G61" s="7" t="s">
        <v>33</v>
      </c>
      <c r="H61" s="7" t="s">
        <v>34</v>
      </c>
      <c r="I61" s="7" t="s">
        <v>140</v>
      </c>
      <c r="J61" s="7" t="s">
        <v>100</v>
      </c>
      <c r="K61" s="7" t="s">
        <v>173</v>
      </c>
      <c r="L61" s="7" t="s">
        <v>33</v>
      </c>
      <c r="M61" s="7">
        <v>36075</v>
      </c>
      <c r="N61" s="7">
        <v>3575</v>
      </c>
      <c r="O61" s="7">
        <v>0</v>
      </c>
      <c r="P61" s="7" t="s">
        <v>37</v>
      </c>
      <c r="Q61" s="7" t="s">
        <v>29</v>
      </c>
      <c r="R61" s="7" t="s">
        <v>269</v>
      </c>
    </row>
    <row r="62" spans="1:18" s="7" customFormat="1" ht="12.75" x14ac:dyDescent="0.2">
      <c r="A62" s="8">
        <v>45953</v>
      </c>
      <c r="B62" s="7" t="s">
        <v>176</v>
      </c>
      <c r="C62" s="7" t="s">
        <v>177</v>
      </c>
      <c r="D62" s="7" t="s">
        <v>138</v>
      </c>
      <c r="E62" s="7" t="s">
        <v>172</v>
      </c>
      <c r="F62" s="7" t="s">
        <v>32</v>
      </c>
      <c r="G62" s="7" t="s">
        <v>33</v>
      </c>
      <c r="H62" s="7" t="s">
        <v>34</v>
      </c>
      <c r="I62" s="7" t="s">
        <v>140</v>
      </c>
      <c r="J62" s="7" t="s">
        <v>100</v>
      </c>
      <c r="K62" s="7" t="s">
        <v>173</v>
      </c>
      <c r="L62" s="7" t="s">
        <v>33</v>
      </c>
      <c r="M62" s="7">
        <v>7104000</v>
      </c>
      <c r="N62" s="7">
        <v>704000</v>
      </c>
      <c r="O62" s="7">
        <v>0</v>
      </c>
      <c r="P62" s="7" t="s">
        <v>37</v>
      </c>
      <c r="Q62" s="7" t="s">
        <v>29</v>
      </c>
      <c r="R62" s="7" t="s">
        <v>269</v>
      </c>
    </row>
    <row r="63" spans="1:18" s="7" customFormat="1" ht="12.75" x14ac:dyDescent="0.2">
      <c r="A63" s="8">
        <v>45953</v>
      </c>
      <c r="B63" s="7" t="s">
        <v>178</v>
      </c>
      <c r="C63" s="7" t="s">
        <v>179</v>
      </c>
      <c r="D63" s="7" t="s">
        <v>138</v>
      </c>
      <c r="E63" s="7" t="s">
        <v>172</v>
      </c>
      <c r="F63" s="7" t="s">
        <v>32</v>
      </c>
      <c r="G63" s="7" t="s">
        <v>33</v>
      </c>
      <c r="H63" s="7" t="s">
        <v>34</v>
      </c>
      <c r="I63" s="7" t="s">
        <v>140</v>
      </c>
      <c r="J63" s="7" t="s">
        <v>100</v>
      </c>
      <c r="K63" s="7" t="s">
        <v>173</v>
      </c>
      <c r="L63" s="7" t="s">
        <v>33</v>
      </c>
      <c r="M63" s="7">
        <v>2664000</v>
      </c>
      <c r="N63" s="7">
        <v>264000</v>
      </c>
      <c r="O63" s="7">
        <v>0</v>
      </c>
      <c r="P63" s="7" t="s">
        <v>37</v>
      </c>
      <c r="Q63" s="7" t="s">
        <v>29</v>
      </c>
      <c r="R63" s="7" t="s">
        <v>269</v>
      </c>
    </row>
    <row r="64" spans="1:18" s="7" customFormat="1" ht="12.75" x14ac:dyDescent="0.2">
      <c r="A64" s="8">
        <v>45953</v>
      </c>
      <c r="B64" s="7" t="s">
        <v>180</v>
      </c>
      <c r="C64" s="7" t="s">
        <v>181</v>
      </c>
      <c r="D64" s="7" t="s">
        <v>138</v>
      </c>
      <c r="E64" s="7" t="s">
        <v>182</v>
      </c>
      <c r="F64" s="7" t="s">
        <v>32</v>
      </c>
      <c r="G64" s="7" t="s">
        <v>33</v>
      </c>
      <c r="H64" s="7" t="s">
        <v>34</v>
      </c>
      <c r="I64" s="7" t="s">
        <v>140</v>
      </c>
      <c r="J64" s="7" t="s">
        <v>160</v>
      </c>
      <c r="K64" s="7" t="s">
        <v>123</v>
      </c>
      <c r="L64" s="7" t="s">
        <v>33</v>
      </c>
      <c r="M64" s="7">
        <v>2521803</v>
      </c>
      <c r="N64" s="7">
        <v>249908</v>
      </c>
      <c r="O64" s="7">
        <v>0</v>
      </c>
      <c r="P64" s="7" t="s">
        <v>37</v>
      </c>
      <c r="Q64" s="7" t="s">
        <v>29</v>
      </c>
      <c r="R64" s="7" t="s">
        <v>267</v>
      </c>
    </row>
    <row r="65" spans="1:18" s="7" customFormat="1" ht="12.75" x14ac:dyDescent="0.2">
      <c r="A65" s="8">
        <v>45954</v>
      </c>
      <c r="B65" s="7" t="s">
        <v>183</v>
      </c>
      <c r="C65" s="7" t="s">
        <v>184</v>
      </c>
      <c r="D65" s="7" t="s">
        <v>138</v>
      </c>
      <c r="E65" s="7" t="s">
        <v>172</v>
      </c>
      <c r="F65" s="7" t="s">
        <v>32</v>
      </c>
      <c r="G65" s="7" t="s">
        <v>33</v>
      </c>
      <c r="H65" s="7" t="s">
        <v>34</v>
      </c>
      <c r="I65" s="7" t="s">
        <v>140</v>
      </c>
      <c r="J65" s="7" t="s">
        <v>100</v>
      </c>
      <c r="K65" s="7" t="s">
        <v>173</v>
      </c>
      <c r="L65" s="7" t="s">
        <v>33</v>
      </c>
      <c r="M65" s="7">
        <v>271395</v>
      </c>
      <c r="N65" s="7">
        <v>26895</v>
      </c>
      <c r="O65" s="7">
        <v>0</v>
      </c>
      <c r="P65" s="7" t="s">
        <v>37</v>
      </c>
      <c r="Q65" s="7" t="s">
        <v>29</v>
      </c>
      <c r="R65" s="7" t="s">
        <v>269</v>
      </c>
    </row>
    <row r="66" spans="1:18" s="7" customFormat="1" ht="12.75" x14ac:dyDescent="0.2">
      <c r="A66" s="8">
        <v>45954</v>
      </c>
      <c r="B66" s="7" t="s">
        <v>185</v>
      </c>
      <c r="C66" s="7" t="s">
        <v>175</v>
      </c>
      <c r="D66" s="7" t="s">
        <v>138</v>
      </c>
      <c r="E66" s="7" t="s">
        <v>172</v>
      </c>
      <c r="F66" s="7" t="s">
        <v>32</v>
      </c>
      <c r="G66" s="7" t="s">
        <v>33</v>
      </c>
      <c r="H66" s="7" t="s">
        <v>34</v>
      </c>
      <c r="I66" s="7" t="s">
        <v>140</v>
      </c>
      <c r="J66" s="7" t="s">
        <v>100</v>
      </c>
      <c r="K66" s="7" t="s">
        <v>173</v>
      </c>
      <c r="L66" s="7" t="s">
        <v>33</v>
      </c>
      <c r="M66" s="7">
        <v>1132200</v>
      </c>
      <c r="N66" s="7">
        <v>112200</v>
      </c>
      <c r="O66" s="7">
        <v>0</v>
      </c>
      <c r="P66" s="7" t="s">
        <v>37</v>
      </c>
      <c r="Q66" s="7" t="s">
        <v>29</v>
      </c>
      <c r="R66" s="7" t="s">
        <v>269</v>
      </c>
    </row>
    <row r="67" spans="1:18" s="7" customFormat="1" ht="12.75" x14ac:dyDescent="0.2">
      <c r="A67" s="8">
        <v>45954</v>
      </c>
      <c r="B67" s="7" t="s">
        <v>186</v>
      </c>
      <c r="C67" s="7" t="s">
        <v>143</v>
      </c>
      <c r="D67" s="7" t="s">
        <v>138</v>
      </c>
      <c r="E67" s="7" t="s">
        <v>139</v>
      </c>
      <c r="F67" s="7" t="s">
        <v>32</v>
      </c>
      <c r="G67" s="7" t="s">
        <v>33</v>
      </c>
      <c r="H67" s="7" t="s">
        <v>34</v>
      </c>
      <c r="I67" s="7" t="s">
        <v>140</v>
      </c>
      <c r="J67" s="7" t="s">
        <v>82</v>
      </c>
      <c r="K67" s="7" t="s">
        <v>141</v>
      </c>
      <c r="L67" s="7" t="s">
        <v>33</v>
      </c>
      <c r="M67" s="7">
        <v>245310</v>
      </c>
      <c r="N67" s="7">
        <v>24310</v>
      </c>
      <c r="O67" s="7">
        <v>0</v>
      </c>
      <c r="P67" s="7" t="s">
        <v>37</v>
      </c>
      <c r="Q67" s="7" t="s">
        <v>29</v>
      </c>
      <c r="R67" s="7" t="s">
        <v>269</v>
      </c>
    </row>
    <row r="68" spans="1:18" s="7" customFormat="1" ht="12.75" x14ac:dyDescent="0.2">
      <c r="A68" s="8">
        <v>45954</v>
      </c>
      <c r="B68" s="7" t="s">
        <v>187</v>
      </c>
      <c r="C68" s="7" t="s">
        <v>149</v>
      </c>
      <c r="D68" s="7" t="s">
        <v>138</v>
      </c>
      <c r="E68" s="7" t="s">
        <v>139</v>
      </c>
      <c r="F68" s="7" t="s">
        <v>32</v>
      </c>
      <c r="G68" s="7" t="s">
        <v>33</v>
      </c>
      <c r="H68" s="7" t="s">
        <v>34</v>
      </c>
      <c r="I68" s="7" t="s">
        <v>140</v>
      </c>
      <c r="J68" s="7" t="s">
        <v>82</v>
      </c>
      <c r="K68" s="7" t="s">
        <v>141</v>
      </c>
      <c r="L68" s="7" t="s">
        <v>33</v>
      </c>
      <c r="M68" s="7">
        <v>213120</v>
      </c>
      <c r="N68" s="7">
        <v>21120</v>
      </c>
      <c r="O68" s="7">
        <v>0</v>
      </c>
      <c r="P68" s="7" t="s">
        <v>37</v>
      </c>
      <c r="Q68" s="7" t="s">
        <v>29</v>
      </c>
      <c r="R68" s="7" t="s">
        <v>269</v>
      </c>
    </row>
    <row r="69" spans="1:18" s="7" customFormat="1" ht="12.75" x14ac:dyDescent="0.2">
      <c r="A69" s="8">
        <v>45954</v>
      </c>
      <c r="B69" s="7" t="s">
        <v>188</v>
      </c>
      <c r="C69" s="7" t="s">
        <v>147</v>
      </c>
      <c r="D69" s="7" t="s">
        <v>138</v>
      </c>
      <c r="E69" s="7" t="s">
        <v>139</v>
      </c>
      <c r="F69" s="7" t="s">
        <v>32</v>
      </c>
      <c r="G69" s="7" t="s">
        <v>33</v>
      </c>
      <c r="H69" s="7" t="s">
        <v>34</v>
      </c>
      <c r="I69" s="7" t="s">
        <v>140</v>
      </c>
      <c r="J69" s="7" t="s">
        <v>82</v>
      </c>
      <c r="K69" s="7" t="s">
        <v>141</v>
      </c>
      <c r="L69" s="7" t="s">
        <v>33</v>
      </c>
      <c r="M69" s="7">
        <v>799200</v>
      </c>
      <c r="N69" s="7">
        <v>79200</v>
      </c>
      <c r="O69" s="7">
        <v>0</v>
      </c>
      <c r="P69" s="7" t="s">
        <v>37</v>
      </c>
      <c r="Q69" s="7" t="s">
        <v>29</v>
      </c>
      <c r="R69" s="7" t="s">
        <v>269</v>
      </c>
    </row>
    <row r="70" spans="1:18" s="7" customFormat="1" ht="12.75" x14ac:dyDescent="0.2">
      <c r="A70" s="8">
        <v>45954</v>
      </c>
      <c r="B70" s="7" t="s">
        <v>189</v>
      </c>
      <c r="C70" s="7" t="s">
        <v>143</v>
      </c>
      <c r="D70" s="7" t="s">
        <v>138</v>
      </c>
      <c r="E70" s="7" t="s">
        <v>139</v>
      </c>
      <c r="F70" s="7" t="s">
        <v>32</v>
      </c>
      <c r="G70" s="7" t="s">
        <v>33</v>
      </c>
      <c r="H70" s="7" t="s">
        <v>34</v>
      </c>
      <c r="I70" s="7" t="s">
        <v>140</v>
      </c>
      <c r="J70" s="7" t="s">
        <v>82</v>
      </c>
      <c r="K70" s="7" t="s">
        <v>141</v>
      </c>
      <c r="L70" s="7" t="s">
        <v>33</v>
      </c>
      <c r="M70" s="7">
        <v>489510</v>
      </c>
      <c r="N70" s="7">
        <v>48510</v>
      </c>
      <c r="O70" s="7">
        <v>0</v>
      </c>
      <c r="P70" s="7" t="s">
        <v>37</v>
      </c>
      <c r="Q70" s="7" t="s">
        <v>29</v>
      </c>
      <c r="R70" s="7" t="s">
        <v>269</v>
      </c>
    </row>
    <row r="71" spans="1:18" s="7" customFormat="1" ht="12.75" x14ac:dyDescent="0.2">
      <c r="A71" s="8">
        <v>45955</v>
      </c>
      <c r="B71" s="7" t="s">
        <v>190</v>
      </c>
      <c r="C71" s="7" t="s">
        <v>145</v>
      </c>
      <c r="D71" s="7" t="s">
        <v>138</v>
      </c>
      <c r="E71" s="7" t="s">
        <v>139</v>
      </c>
      <c r="F71" s="7" t="s">
        <v>32</v>
      </c>
      <c r="G71" s="7" t="s">
        <v>33</v>
      </c>
      <c r="H71" s="7" t="s">
        <v>34</v>
      </c>
      <c r="I71" s="7" t="s">
        <v>140</v>
      </c>
      <c r="J71" s="7" t="s">
        <v>82</v>
      </c>
      <c r="K71" s="7" t="s">
        <v>141</v>
      </c>
      <c r="L71" s="7" t="s">
        <v>33</v>
      </c>
      <c r="M71" s="7">
        <v>4162500</v>
      </c>
      <c r="N71" s="7">
        <v>412500</v>
      </c>
      <c r="O71" s="7">
        <v>0</v>
      </c>
      <c r="P71" s="7" t="s">
        <v>37</v>
      </c>
      <c r="Q71" s="7" t="s">
        <v>29</v>
      </c>
      <c r="R71" s="7" t="s">
        <v>269</v>
      </c>
    </row>
    <row r="72" spans="1:18" s="7" customFormat="1" ht="12.75" x14ac:dyDescent="0.2">
      <c r="A72" s="8">
        <v>45957</v>
      </c>
      <c r="B72" s="7" t="s">
        <v>191</v>
      </c>
      <c r="C72" s="7" t="s">
        <v>192</v>
      </c>
      <c r="D72" s="7" t="s">
        <v>138</v>
      </c>
      <c r="E72" s="7" t="s">
        <v>193</v>
      </c>
      <c r="F72" s="7" t="s">
        <v>32</v>
      </c>
      <c r="G72" s="7" t="s">
        <v>33</v>
      </c>
      <c r="H72" s="7" t="s">
        <v>34</v>
      </c>
      <c r="I72" s="7" t="s">
        <v>140</v>
      </c>
      <c r="J72" s="7" t="s">
        <v>160</v>
      </c>
      <c r="K72" s="7" t="s">
        <v>123</v>
      </c>
      <c r="L72" s="7" t="s">
        <v>33</v>
      </c>
      <c r="M72" s="7">
        <v>197435</v>
      </c>
      <c r="N72" s="7">
        <v>19565</v>
      </c>
      <c r="O72" s="7">
        <v>0</v>
      </c>
      <c r="P72" s="7" t="s">
        <v>37</v>
      </c>
      <c r="Q72" s="7" t="s">
        <v>29</v>
      </c>
      <c r="R72" s="7" t="s">
        <v>267</v>
      </c>
    </row>
    <row r="73" spans="1:18" s="7" customFormat="1" ht="12.75" x14ac:dyDescent="0.2">
      <c r="A73" s="8">
        <v>45957</v>
      </c>
      <c r="B73" s="7" t="s">
        <v>194</v>
      </c>
      <c r="C73" s="7" t="s">
        <v>29</v>
      </c>
      <c r="D73" s="7" t="s">
        <v>138</v>
      </c>
      <c r="E73" s="7" t="s">
        <v>195</v>
      </c>
      <c r="F73" s="7" t="s">
        <v>32</v>
      </c>
      <c r="G73" s="7" t="s">
        <v>33</v>
      </c>
      <c r="H73" s="7" t="s">
        <v>34</v>
      </c>
      <c r="I73" s="7" t="s">
        <v>140</v>
      </c>
      <c r="J73" s="7" t="s">
        <v>160</v>
      </c>
      <c r="K73" s="7" t="s">
        <v>123</v>
      </c>
      <c r="L73" s="7" t="s">
        <v>33</v>
      </c>
      <c r="M73" s="7">
        <v>353414</v>
      </c>
      <c r="N73" s="7">
        <v>35023</v>
      </c>
      <c r="O73" s="7">
        <v>0</v>
      </c>
      <c r="P73" s="7" t="s">
        <v>37</v>
      </c>
      <c r="Q73" s="7" t="s">
        <v>29</v>
      </c>
      <c r="R73" s="7" t="s">
        <v>269</v>
      </c>
    </row>
    <row r="74" spans="1:18" s="7" customFormat="1" ht="12.75" x14ac:dyDescent="0.2">
      <c r="A74" s="8">
        <v>45957</v>
      </c>
      <c r="B74" s="7" t="s">
        <v>196</v>
      </c>
      <c r="C74" s="7" t="s">
        <v>29</v>
      </c>
      <c r="D74" s="7" t="s">
        <v>138</v>
      </c>
      <c r="E74" s="7" t="s">
        <v>197</v>
      </c>
      <c r="F74" s="7" t="s">
        <v>32</v>
      </c>
      <c r="G74" s="7" t="s">
        <v>33</v>
      </c>
      <c r="H74" s="7" t="s">
        <v>34</v>
      </c>
      <c r="I74" s="7" t="s">
        <v>140</v>
      </c>
      <c r="J74" s="7" t="s">
        <v>160</v>
      </c>
      <c r="K74" s="7" t="s">
        <v>123</v>
      </c>
      <c r="L74" s="7" t="s">
        <v>33</v>
      </c>
      <c r="M74" s="7">
        <v>132018</v>
      </c>
      <c r="N74" s="7">
        <v>13082</v>
      </c>
      <c r="O74" s="7">
        <v>0</v>
      </c>
      <c r="P74" s="7" t="s">
        <v>37</v>
      </c>
      <c r="Q74" s="7" t="s">
        <v>29</v>
      </c>
      <c r="R74" s="7" t="s">
        <v>269</v>
      </c>
    </row>
    <row r="75" spans="1:18" s="7" customFormat="1" ht="12.75" x14ac:dyDescent="0.2">
      <c r="A75" s="8">
        <v>45958</v>
      </c>
      <c r="B75" s="7" t="s">
        <v>198</v>
      </c>
      <c r="C75" s="7" t="s">
        <v>29</v>
      </c>
      <c r="D75" s="7" t="s">
        <v>138</v>
      </c>
      <c r="E75" s="7" t="s">
        <v>199</v>
      </c>
      <c r="F75" s="7" t="s">
        <v>32</v>
      </c>
      <c r="G75" s="7" t="s">
        <v>33</v>
      </c>
      <c r="H75" s="7" t="s">
        <v>34</v>
      </c>
      <c r="I75" s="7" t="s">
        <v>200</v>
      </c>
      <c r="J75" s="7" t="s">
        <v>201</v>
      </c>
      <c r="K75" s="7" t="s">
        <v>202</v>
      </c>
      <c r="L75" s="7" t="s">
        <v>33</v>
      </c>
      <c r="M75" s="7">
        <v>1298700</v>
      </c>
      <c r="N75" s="7">
        <v>128700</v>
      </c>
      <c r="O75" s="7">
        <v>0</v>
      </c>
      <c r="P75" s="7" t="s">
        <v>37</v>
      </c>
      <c r="Q75" s="7" t="s">
        <v>29</v>
      </c>
      <c r="R75" s="7" t="s">
        <v>70</v>
      </c>
    </row>
    <row r="76" spans="1:18" s="7" customFormat="1" ht="12.75" x14ac:dyDescent="0.2">
      <c r="A76" s="8">
        <v>45959</v>
      </c>
      <c r="B76" s="7" t="s">
        <v>203</v>
      </c>
      <c r="C76" s="7" t="s">
        <v>204</v>
      </c>
      <c r="D76" s="7" t="s">
        <v>138</v>
      </c>
      <c r="E76" s="7" t="s">
        <v>205</v>
      </c>
      <c r="F76" s="7" t="s">
        <v>32</v>
      </c>
      <c r="G76" s="7" t="s">
        <v>33</v>
      </c>
      <c r="H76" s="7" t="s">
        <v>34</v>
      </c>
      <c r="I76" s="7" t="s">
        <v>140</v>
      </c>
      <c r="J76" s="7" t="s">
        <v>160</v>
      </c>
      <c r="K76" s="7" t="s">
        <v>123</v>
      </c>
      <c r="L76" s="7" t="s">
        <v>33</v>
      </c>
      <c r="M76" s="7">
        <v>1488057</v>
      </c>
      <c r="N76" s="7">
        <v>147465</v>
      </c>
      <c r="O76" s="7">
        <v>0</v>
      </c>
      <c r="P76" s="7" t="s">
        <v>37</v>
      </c>
      <c r="Q76" s="7" t="s">
        <v>29</v>
      </c>
      <c r="R76" s="7" t="s">
        <v>267</v>
      </c>
    </row>
    <row r="77" spans="1:18" ht="15.75" customHeight="1" x14ac:dyDescent="0.2"/>
    <row r="78" spans="1:18" ht="15.75" customHeight="1" x14ac:dyDescent="0.2"/>
    <row r="79" spans="1:18" ht="15.75" customHeight="1" x14ac:dyDescent="0.2"/>
    <row r="80" spans="1:18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"/>
  <sheetViews>
    <sheetView topLeftCell="A61" workbookViewId="0">
      <selection activeCell="C4" sqref="C4:C78"/>
    </sheetView>
  </sheetViews>
  <sheetFormatPr defaultColWidth="12.5703125" defaultRowHeight="12.75" x14ac:dyDescent="0.2"/>
  <cols>
    <col min="1" max="1" width="13.85546875" customWidth="1"/>
    <col min="7" max="7" width="14.7109375" customWidth="1"/>
    <col min="8" max="10" width="21.28515625" customWidth="1"/>
  </cols>
  <sheetData>
    <row r="1" spans="1:11" x14ac:dyDescent="0.2">
      <c r="A1" s="4" t="s">
        <v>206</v>
      </c>
      <c r="B1" s="4" t="s">
        <v>1</v>
      </c>
      <c r="C1" s="4"/>
      <c r="D1" s="4" t="s">
        <v>207</v>
      </c>
      <c r="E1" s="4" t="s">
        <v>208</v>
      </c>
      <c r="F1" s="4" t="s">
        <v>209</v>
      </c>
      <c r="G1" s="4" t="s">
        <v>210</v>
      </c>
      <c r="H1" s="4" t="s">
        <v>211</v>
      </c>
      <c r="I1" s="4" t="s">
        <v>212</v>
      </c>
      <c r="J1" s="4" t="s">
        <v>213</v>
      </c>
      <c r="K1" s="4" t="s">
        <v>214</v>
      </c>
    </row>
    <row r="2" spans="1:11" x14ac:dyDescent="0.2">
      <c r="A2" s="9" t="s">
        <v>19</v>
      </c>
      <c r="B2" s="9" t="s">
        <v>19</v>
      </c>
      <c r="C2" s="9"/>
      <c r="D2" s="9" t="s">
        <v>19</v>
      </c>
      <c r="E2" s="9" t="s">
        <v>19</v>
      </c>
      <c r="F2" s="9" t="s">
        <v>19</v>
      </c>
      <c r="G2" s="9" t="s">
        <v>18</v>
      </c>
      <c r="H2" s="9" t="s">
        <v>215</v>
      </c>
      <c r="I2" s="9" t="s">
        <v>216</v>
      </c>
      <c r="J2" s="9" t="s">
        <v>23</v>
      </c>
      <c r="K2" s="9" t="s">
        <v>23</v>
      </c>
    </row>
    <row r="4" spans="1:11" s="7" customFormat="1" x14ac:dyDescent="0.2">
      <c r="A4" s="7" t="s">
        <v>217</v>
      </c>
      <c r="B4" s="7" t="s">
        <v>79</v>
      </c>
      <c r="C4" s="7" t="str">
        <f>MID(A4,3,2)</f>
        <v>26</v>
      </c>
      <c r="D4" s="7" t="s">
        <v>218</v>
      </c>
      <c r="E4" s="7" t="s">
        <v>219</v>
      </c>
      <c r="F4" s="7" t="s">
        <v>220</v>
      </c>
      <c r="G4" s="8">
        <v>45959</v>
      </c>
      <c r="H4" s="7" t="s">
        <v>221</v>
      </c>
      <c r="I4" s="7" t="s">
        <v>222</v>
      </c>
      <c r="J4" s="7">
        <v>461205</v>
      </c>
      <c r="K4" s="7">
        <v>461205</v>
      </c>
    </row>
    <row r="5" spans="1:11" s="7" customFormat="1" x14ac:dyDescent="0.2">
      <c r="A5" s="7" t="s">
        <v>217</v>
      </c>
      <c r="B5" s="7" t="s">
        <v>84</v>
      </c>
      <c r="C5" s="7" t="str">
        <f t="shared" ref="C5:C68" si="0">MID(A5,3,2)</f>
        <v>26</v>
      </c>
      <c r="D5" s="7" t="s">
        <v>218</v>
      </c>
      <c r="E5" s="7" t="s">
        <v>219</v>
      </c>
      <c r="F5" s="7" t="s">
        <v>220</v>
      </c>
      <c r="G5" s="8">
        <v>45959</v>
      </c>
      <c r="H5" s="7" t="s">
        <v>221</v>
      </c>
      <c r="I5" s="7" t="s">
        <v>222</v>
      </c>
      <c r="J5" s="7">
        <v>1842683</v>
      </c>
      <c r="K5" s="7">
        <v>1842683</v>
      </c>
    </row>
    <row r="6" spans="1:11" s="7" customFormat="1" x14ac:dyDescent="0.2">
      <c r="A6" s="7" t="s">
        <v>217</v>
      </c>
      <c r="B6" s="7" t="s">
        <v>86</v>
      </c>
      <c r="C6" s="7" t="str">
        <f t="shared" si="0"/>
        <v>26</v>
      </c>
      <c r="D6" s="7" t="s">
        <v>218</v>
      </c>
      <c r="E6" s="7" t="s">
        <v>219</v>
      </c>
      <c r="F6" s="7" t="s">
        <v>220</v>
      </c>
      <c r="G6" s="8">
        <v>45959</v>
      </c>
      <c r="H6" s="7" t="s">
        <v>221</v>
      </c>
      <c r="I6" s="7" t="s">
        <v>222</v>
      </c>
      <c r="J6" s="7">
        <v>56943</v>
      </c>
      <c r="K6" s="7">
        <v>56943</v>
      </c>
    </row>
    <row r="7" spans="1:11" s="7" customFormat="1" x14ac:dyDescent="0.2">
      <c r="A7" s="7" t="s">
        <v>217</v>
      </c>
      <c r="B7" s="7" t="s">
        <v>88</v>
      </c>
      <c r="C7" s="7" t="str">
        <f t="shared" si="0"/>
        <v>26</v>
      </c>
      <c r="D7" s="7" t="s">
        <v>218</v>
      </c>
      <c r="E7" s="7" t="s">
        <v>219</v>
      </c>
      <c r="F7" s="7" t="s">
        <v>220</v>
      </c>
      <c r="G7" s="8">
        <v>45959</v>
      </c>
      <c r="H7" s="7" t="s">
        <v>221</v>
      </c>
      <c r="I7" s="7" t="s">
        <v>222</v>
      </c>
      <c r="J7" s="7">
        <v>738150</v>
      </c>
      <c r="K7" s="7">
        <v>738150</v>
      </c>
    </row>
    <row r="8" spans="1:11" s="7" customFormat="1" x14ac:dyDescent="0.2">
      <c r="A8" s="7" t="s">
        <v>217</v>
      </c>
      <c r="B8" s="7" t="s">
        <v>92</v>
      </c>
      <c r="C8" s="7" t="str">
        <f t="shared" si="0"/>
        <v>26</v>
      </c>
      <c r="D8" s="7" t="s">
        <v>218</v>
      </c>
      <c r="E8" s="7" t="s">
        <v>219</v>
      </c>
      <c r="F8" s="7" t="s">
        <v>220</v>
      </c>
      <c r="G8" s="8">
        <v>45959</v>
      </c>
      <c r="H8" s="7" t="s">
        <v>221</v>
      </c>
      <c r="I8" s="7" t="s">
        <v>222</v>
      </c>
      <c r="J8" s="7">
        <v>337440</v>
      </c>
      <c r="K8" s="7">
        <v>337440</v>
      </c>
    </row>
    <row r="9" spans="1:11" s="7" customFormat="1" x14ac:dyDescent="0.2">
      <c r="A9" s="7" t="s">
        <v>223</v>
      </c>
      <c r="B9" s="7" t="s">
        <v>97</v>
      </c>
      <c r="C9" s="7" t="str">
        <f t="shared" si="0"/>
        <v>26</v>
      </c>
      <c r="D9" s="7" t="s">
        <v>218</v>
      </c>
      <c r="E9" s="7" t="s">
        <v>219</v>
      </c>
      <c r="F9" s="7" t="s">
        <v>224</v>
      </c>
      <c r="G9" s="8">
        <v>45961</v>
      </c>
      <c r="H9" s="7" t="s">
        <v>221</v>
      </c>
      <c r="I9" s="7" t="s">
        <v>222</v>
      </c>
      <c r="J9" s="7">
        <v>4772605</v>
      </c>
      <c r="K9" s="7">
        <v>4772605</v>
      </c>
    </row>
    <row r="10" spans="1:11" s="7" customFormat="1" x14ac:dyDescent="0.2">
      <c r="A10" s="7" t="s">
        <v>223</v>
      </c>
      <c r="B10" s="7" t="s">
        <v>102</v>
      </c>
      <c r="C10" s="7" t="str">
        <f t="shared" si="0"/>
        <v>26</v>
      </c>
      <c r="D10" s="7" t="s">
        <v>218</v>
      </c>
      <c r="E10" s="7" t="s">
        <v>219</v>
      </c>
      <c r="F10" s="7" t="s">
        <v>224</v>
      </c>
      <c r="G10" s="8">
        <v>45961</v>
      </c>
      <c r="H10" s="7" t="s">
        <v>221</v>
      </c>
      <c r="I10" s="7" t="s">
        <v>222</v>
      </c>
      <c r="J10" s="7">
        <v>3428568</v>
      </c>
      <c r="K10" s="7">
        <v>3428568</v>
      </c>
    </row>
    <row r="11" spans="1:11" s="7" customFormat="1" x14ac:dyDescent="0.2">
      <c r="A11" s="7" t="s">
        <v>223</v>
      </c>
      <c r="B11" s="7" t="s">
        <v>104</v>
      </c>
      <c r="C11" s="7" t="str">
        <f t="shared" si="0"/>
        <v>26</v>
      </c>
      <c r="D11" s="7" t="s">
        <v>218</v>
      </c>
      <c r="E11" s="7" t="s">
        <v>219</v>
      </c>
      <c r="F11" s="7" t="s">
        <v>224</v>
      </c>
      <c r="G11" s="8">
        <v>45961</v>
      </c>
      <c r="H11" s="7" t="s">
        <v>221</v>
      </c>
      <c r="I11" s="7" t="s">
        <v>222</v>
      </c>
      <c r="J11" s="7">
        <v>971250</v>
      </c>
      <c r="K11" s="7">
        <v>971250</v>
      </c>
    </row>
    <row r="12" spans="1:11" s="7" customFormat="1" x14ac:dyDescent="0.2">
      <c r="A12" s="7" t="s">
        <v>223</v>
      </c>
      <c r="B12" s="7" t="s">
        <v>109</v>
      </c>
      <c r="C12" s="7" t="str">
        <f t="shared" si="0"/>
        <v>26</v>
      </c>
      <c r="D12" s="7" t="s">
        <v>218</v>
      </c>
      <c r="E12" s="7" t="s">
        <v>219</v>
      </c>
      <c r="F12" s="7" t="s">
        <v>224</v>
      </c>
      <c r="G12" s="8">
        <v>45961</v>
      </c>
      <c r="H12" s="7" t="s">
        <v>221</v>
      </c>
      <c r="I12" s="7" t="s">
        <v>222</v>
      </c>
      <c r="J12" s="7">
        <v>284715</v>
      </c>
      <c r="K12" s="7">
        <v>284715</v>
      </c>
    </row>
    <row r="13" spans="1:11" s="7" customFormat="1" x14ac:dyDescent="0.2">
      <c r="A13" s="7" t="s">
        <v>217</v>
      </c>
      <c r="B13" s="7" t="s">
        <v>111</v>
      </c>
      <c r="C13" s="7" t="str">
        <f t="shared" si="0"/>
        <v>26</v>
      </c>
      <c r="D13" s="7" t="s">
        <v>218</v>
      </c>
      <c r="E13" s="7" t="s">
        <v>219</v>
      </c>
      <c r="F13" s="7" t="s">
        <v>220</v>
      </c>
      <c r="G13" s="8">
        <v>45959</v>
      </c>
      <c r="H13" s="7" t="s">
        <v>221</v>
      </c>
      <c r="I13" s="7" t="s">
        <v>222</v>
      </c>
      <c r="J13" s="7">
        <v>1694914</v>
      </c>
      <c r="K13" s="7">
        <v>1694914</v>
      </c>
    </row>
    <row r="14" spans="1:11" s="7" customFormat="1" x14ac:dyDescent="0.2">
      <c r="A14" s="7" t="s">
        <v>217</v>
      </c>
      <c r="B14" s="7" t="s">
        <v>112</v>
      </c>
      <c r="C14" s="7" t="str">
        <f t="shared" si="0"/>
        <v>26</v>
      </c>
      <c r="D14" s="7" t="s">
        <v>218</v>
      </c>
      <c r="E14" s="7" t="s">
        <v>219</v>
      </c>
      <c r="F14" s="7" t="s">
        <v>220</v>
      </c>
      <c r="G14" s="8">
        <v>45959</v>
      </c>
      <c r="H14" s="7" t="s">
        <v>221</v>
      </c>
      <c r="I14" s="7" t="s">
        <v>222</v>
      </c>
      <c r="J14" s="7">
        <v>604395</v>
      </c>
      <c r="K14" s="7">
        <v>604395</v>
      </c>
    </row>
    <row r="15" spans="1:11" s="7" customFormat="1" x14ac:dyDescent="0.2">
      <c r="A15" s="7" t="s">
        <v>217</v>
      </c>
      <c r="B15" s="7" t="s">
        <v>114</v>
      </c>
      <c r="C15" s="7" t="str">
        <f t="shared" si="0"/>
        <v>26</v>
      </c>
      <c r="D15" s="7" t="s">
        <v>218</v>
      </c>
      <c r="E15" s="7" t="s">
        <v>219</v>
      </c>
      <c r="F15" s="7" t="s">
        <v>220</v>
      </c>
      <c r="G15" s="8">
        <v>45959</v>
      </c>
      <c r="H15" s="7" t="s">
        <v>221</v>
      </c>
      <c r="I15" s="7" t="s">
        <v>222</v>
      </c>
      <c r="J15" s="7">
        <v>147075</v>
      </c>
      <c r="K15" s="7">
        <v>147075</v>
      </c>
    </row>
    <row r="16" spans="1:11" s="7" customFormat="1" x14ac:dyDescent="0.2">
      <c r="A16" s="7" t="s">
        <v>217</v>
      </c>
      <c r="B16" s="7" t="s">
        <v>116</v>
      </c>
      <c r="C16" s="7" t="str">
        <f t="shared" si="0"/>
        <v>26</v>
      </c>
      <c r="D16" s="7" t="s">
        <v>218</v>
      </c>
      <c r="E16" s="7" t="s">
        <v>219</v>
      </c>
      <c r="F16" s="7" t="s">
        <v>220</v>
      </c>
      <c r="G16" s="8">
        <v>45959</v>
      </c>
      <c r="H16" s="7" t="s">
        <v>221</v>
      </c>
      <c r="I16" s="7" t="s">
        <v>222</v>
      </c>
      <c r="J16" s="7">
        <v>108225</v>
      </c>
      <c r="K16" s="7">
        <v>108225</v>
      </c>
    </row>
    <row r="17" spans="1:11" s="7" customFormat="1" x14ac:dyDescent="0.2">
      <c r="A17" s="7" t="s">
        <v>223</v>
      </c>
      <c r="B17" s="7" t="s">
        <v>118</v>
      </c>
      <c r="C17" s="7" t="str">
        <f t="shared" si="0"/>
        <v>26</v>
      </c>
      <c r="D17" s="7" t="s">
        <v>218</v>
      </c>
      <c r="E17" s="7" t="s">
        <v>219</v>
      </c>
      <c r="F17" s="7" t="s">
        <v>224</v>
      </c>
      <c r="G17" s="8">
        <v>45961</v>
      </c>
      <c r="H17" s="7" t="s">
        <v>221</v>
      </c>
      <c r="I17" s="7" t="s">
        <v>222</v>
      </c>
      <c r="J17" s="7">
        <v>108225</v>
      </c>
      <c r="K17" s="7">
        <v>108225</v>
      </c>
    </row>
    <row r="18" spans="1:11" s="7" customFormat="1" x14ac:dyDescent="0.2">
      <c r="A18" s="7" t="s">
        <v>217</v>
      </c>
      <c r="B18" s="7" t="s">
        <v>125</v>
      </c>
      <c r="C18" s="7" t="str">
        <f t="shared" si="0"/>
        <v>26</v>
      </c>
      <c r="D18" s="7" t="s">
        <v>218</v>
      </c>
      <c r="E18" s="7" t="s">
        <v>219</v>
      </c>
      <c r="F18" s="7" t="s">
        <v>220</v>
      </c>
      <c r="G18" s="8">
        <v>45959</v>
      </c>
      <c r="H18" s="7" t="s">
        <v>221</v>
      </c>
      <c r="I18" s="7" t="s">
        <v>222</v>
      </c>
      <c r="J18" s="7">
        <v>527250</v>
      </c>
      <c r="K18" s="7">
        <v>527250</v>
      </c>
    </row>
    <row r="19" spans="1:11" s="7" customFormat="1" x14ac:dyDescent="0.2">
      <c r="A19" s="7" t="s">
        <v>223</v>
      </c>
      <c r="B19" s="7" t="s">
        <v>130</v>
      </c>
      <c r="C19" s="7" t="str">
        <f t="shared" si="0"/>
        <v>26</v>
      </c>
      <c r="D19" s="7" t="s">
        <v>218</v>
      </c>
      <c r="E19" s="7" t="s">
        <v>219</v>
      </c>
      <c r="F19" s="7" t="s">
        <v>224</v>
      </c>
      <c r="G19" s="8">
        <v>45961</v>
      </c>
      <c r="H19" s="7" t="s">
        <v>221</v>
      </c>
      <c r="I19" s="7" t="s">
        <v>222</v>
      </c>
      <c r="J19" s="7">
        <v>2354865</v>
      </c>
      <c r="K19" s="7">
        <v>2354865</v>
      </c>
    </row>
    <row r="20" spans="1:11" s="7" customFormat="1" x14ac:dyDescent="0.2">
      <c r="A20" s="7" t="s">
        <v>223</v>
      </c>
      <c r="B20" s="7" t="s">
        <v>131</v>
      </c>
      <c r="C20" s="7" t="str">
        <f t="shared" si="0"/>
        <v>26</v>
      </c>
      <c r="D20" s="7" t="s">
        <v>218</v>
      </c>
      <c r="E20" s="7" t="s">
        <v>219</v>
      </c>
      <c r="F20" s="7" t="s">
        <v>224</v>
      </c>
      <c r="G20" s="8">
        <v>45961</v>
      </c>
      <c r="H20" s="7" t="s">
        <v>221</v>
      </c>
      <c r="I20" s="7" t="s">
        <v>222</v>
      </c>
      <c r="J20" s="7">
        <v>234476</v>
      </c>
      <c r="K20" s="7">
        <v>234476</v>
      </c>
    </row>
    <row r="21" spans="1:11" s="7" customFormat="1" x14ac:dyDescent="0.2">
      <c r="A21" s="7" t="s">
        <v>223</v>
      </c>
      <c r="B21" s="7" t="s">
        <v>132</v>
      </c>
      <c r="C21" s="7" t="str">
        <f t="shared" si="0"/>
        <v>26</v>
      </c>
      <c r="D21" s="7" t="s">
        <v>218</v>
      </c>
      <c r="E21" s="7" t="s">
        <v>219</v>
      </c>
      <c r="F21" s="7" t="s">
        <v>224</v>
      </c>
      <c r="G21" s="8">
        <v>45961</v>
      </c>
      <c r="H21" s="7" t="s">
        <v>221</v>
      </c>
      <c r="I21" s="7" t="s">
        <v>222</v>
      </c>
      <c r="J21" s="7">
        <v>19032948</v>
      </c>
      <c r="K21" s="7">
        <v>19032948</v>
      </c>
    </row>
    <row r="22" spans="1:11" s="7" customFormat="1" x14ac:dyDescent="0.2">
      <c r="A22" s="7" t="s">
        <v>223</v>
      </c>
      <c r="B22" s="7" t="s">
        <v>134</v>
      </c>
      <c r="C22" s="7" t="str">
        <f t="shared" si="0"/>
        <v>26</v>
      </c>
      <c r="D22" s="7" t="s">
        <v>218</v>
      </c>
      <c r="E22" s="7" t="s">
        <v>219</v>
      </c>
      <c r="F22" s="7" t="s">
        <v>224</v>
      </c>
      <c r="G22" s="8">
        <v>45961</v>
      </c>
      <c r="H22" s="7" t="s">
        <v>221</v>
      </c>
      <c r="I22" s="7" t="s">
        <v>222</v>
      </c>
      <c r="J22" s="7">
        <v>201465</v>
      </c>
      <c r="K22" s="7">
        <v>201465</v>
      </c>
    </row>
    <row r="23" spans="1:11" s="7" customFormat="1" x14ac:dyDescent="0.2">
      <c r="A23" s="7" t="s">
        <v>223</v>
      </c>
      <c r="B23" s="7" t="s">
        <v>135</v>
      </c>
      <c r="C23" s="7" t="str">
        <f t="shared" si="0"/>
        <v>26</v>
      </c>
      <c r="D23" s="7" t="s">
        <v>218</v>
      </c>
      <c r="E23" s="7" t="s">
        <v>219</v>
      </c>
      <c r="F23" s="7" t="s">
        <v>224</v>
      </c>
      <c r="G23" s="8">
        <v>45961</v>
      </c>
      <c r="H23" s="7" t="s">
        <v>221</v>
      </c>
      <c r="I23" s="7" t="s">
        <v>222</v>
      </c>
      <c r="J23" s="7">
        <v>727605</v>
      </c>
      <c r="K23" s="7">
        <v>727605</v>
      </c>
    </row>
    <row r="24" spans="1:11" s="7" customFormat="1" x14ac:dyDescent="0.2">
      <c r="A24" s="7" t="s">
        <v>225</v>
      </c>
      <c r="B24" s="7" t="s">
        <v>120</v>
      </c>
      <c r="C24" s="7" t="str">
        <f t="shared" si="0"/>
        <v>26</v>
      </c>
      <c r="D24" s="7" t="s">
        <v>218</v>
      </c>
      <c r="E24" s="7" t="s">
        <v>219</v>
      </c>
      <c r="F24" s="7" t="s">
        <v>220</v>
      </c>
      <c r="G24" s="8">
        <v>45959</v>
      </c>
      <c r="H24" s="7" t="s">
        <v>221</v>
      </c>
      <c r="I24" s="7" t="s">
        <v>222</v>
      </c>
      <c r="J24" s="7">
        <v>269730</v>
      </c>
      <c r="K24" s="7">
        <v>269730</v>
      </c>
    </row>
    <row r="25" spans="1:11" s="7" customFormat="1" x14ac:dyDescent="0.2">
      <c r="A25" s="7" t="s">
        <v>226</v>
      </c>
      <c r="B25" s="7" t="s">
        <v>136</v>
      </c>
      <c r="C25" s="7" t="str">
        <f t="shared" si="0"/>
        <v>26</v>
      </c>
      <c r="D25" s="7" t="s">
        <v>227</v>
      </c>
      <c r="E25" s="7" t="s">
        <v>219</v>
      </c>
      <c r="F25" s="7" t="s">
        <v>228</v>
      </c>
      <c r="G25" s="8">
        <v>45961</v>
      </c>
      <c r="H25" s="7" t="s">
        <v>221</v>
      </c>
      <c r="I25" s="7" t="s">
        <v>222</v>
      </c>
      <c r="J25" s="7">
        <v>201465</v>
      </c>
      <c r="K25" s="7">
        <v>201465</v>
      </c>
    </row>
    <row r="26" spans="1:11" s="7" customFormat="1" x14ac:dyDescent="0.2">
      <c r="A26" s="7" t="s">
        <v>226</v>
      </c>
      <c r="B26" s="7" t="s">
        <v>142</v>
      </c>
      <c r="C26" s="7" t="str">
        <f t="shared" si="0"/>
        <v>26</v>
      </c>
      <c r="D26" s="7" t="s">
        <v>227</v>
      </c>
      <c r="E26" s="7" t="s">
        <v>219</v>
      </c>
      <c r="F26" s="7" t="s">
        <v>228</v>
      </c>
      <c r="G26" s="8">
        <v>45961</v>
      </c>
      <c r="H26" s="7" t="s">
        <v>221</v>
      </c>
      <c r="I26" s="7" t="s">
        <v>222</v>
      </c>
      <c r="J26" s="7">
        <v>365745</v>
      </c>
      <c r="K26" s="7">
        <v>365745</v>
      </c>
    </row>
    <row r="27" spans="1:11" s="7" customFormat="1" x14ac:dyDescent="0.2">
      <c r="A27" s="7" t="s">
        <v>226</v>
      </c>
      <c r="B27" s="7" t="s">
        <v>144</v>
      </c>
      <c r="C27" s="7" t="str">
        <f t="shared" si="0"/>
        <v>26</v>
      </c>
      <c r="D27" s="7" t="s">
        <v>227</v>
      </c>
      <c r="E27" s="7" t="s">
        <v>219</v>
      </c>
      <c r="F27" s="7" t="s">
        <v>228</v>
      </c>
      <c r="G27" s="8">
        <v>45961</v>
      </c>
      <c r="H27" s="7" t="s">
        <v>221</v>
      </c>
      <c r="I27" s="7" t="s">
        <v>222</v>
      </c>
      <c r="J27" s="7">
        <v>852480</v>
      </c>
      <c r="K27" s="7">
        <v>852480</v>
      </c>
    </row>
    <row r="28" spans="1:11" s="7" customFormat="1" x14ac:dyDescent="0.2">
      <c r="A28" s="7" t="s">
        <v>226</v>
      </c>
      <c r="B28" s="7" t="s">
        <v>146</v>
      </c>
      <c r="C28" s="7" t="str">
        <f t="shared" si="0"/>
        <v>26</v>
      </c>
      <c r="D28" s="7" t="s">
        <v>227</v>
      </c>
      <c r="E28" s="7" t="s">
        <v>219</v>
      </c>
      <c r="F28" s="7" t="s">
        <v>228</v>
      </c>
      <c r="G28" s="8">
        <v>45961</v>
      </c>
      <c r="H28" s="7" t="s">
        <v>221</v>
      </c>
      <c r="I28" s="7" t="s">
        <v>222</v>
      </c>
      <c r="J28" s="7">
        <v>799200</v>
      </c>
      <c r="K28" s="7">
        <v>799200</v>
      </c>
    </row>
    <row r="29" spans="1:11" s="7" customFormat="1" x14ac:dyDescent="0.2">
      <c r="A29" s="7" t="s">
        <v>226</v>
      </c>
      <c r="B29" s="7" t="s">
        <v>148</v>
      </c>
      <c r="C29" s="7" t="str">
        <f t="shared" si="0"/>
        <v>26</v>
      </c>
      <c r="D29" s="7" t="s">
        <v>227</v>
      </c>
      <c r="E29" s="7" t="s">
        <v>219</v>
      </c>
      <c r="F29" s="7" t="s">
        <v>228</v>
      </c>
      <c r="G29" s="8">
        <v>45961</v>
      </c>
      <c r="H29" s="7" t="s">
        <v>221</v>
      </c>
      <c r="I29" s="7" t="s">
        <v>222</v>
      </c>
      <c r="J29" s="7">
        <v>213120</v>
      </c>
      <c r="K29" s="7">
        <v>213120</v>
      </c>
    </row>
    <row r="30" spans="1:11" s="7" customFormat="1" x14ac:dyDescent="0.2">
      <c r="A30" s="7" t="s">
        <v>226</v>
      </c>
      <c r="B30" s="7" t="s">
        <v>150</v>
      </c>
      <c r="C30" s="7" t="str">
        <f t="shared" si="0"/>
        <v>26</v>
      </c>
      <c r="D30" s="7" t="s">
        <v>227</v>
      </c>
      <c r="E30" s="7" t="s">
        <v>219</v>
      </c>
      <c r="F30" s="7" t="s">
        <v>228</v>
      </c>
      <c r="G30" s="8">
        <v>45961</v>
      </c>
      <c r="H30" s="7" t="s">
        <v>221</v>
      </c>
      <c r="I30" s="7" t="s">
        <v>222</v>
      </c>
      <c r="J30" s="7">
        <v>236985</v>
      </c>
      <c r="K30" s="7">
        <v>236985</v>
      </c>
    </row>
    <row r="31" spans="1:11" s="7" customFormat="1" x14ac:dyDescent="0.2">
      <c r="A31" s="7" t="s">
        <v>226</v>
      </c>
      <c r="B31" s="7" t="s">
        <v>151</v>
      </c>
      <c r="C31" s="7" t="str">
        <f t="shared" si="0"/>
        <v>26</v>
      </c>
      <c r="D31" s="7" t="s">
        <v>227</v>
      </c>
      <c r="E31" s="7" t="s">
        <v>219</v>
      </c>
      <c r="F31" s="7" t="s">
        <v>228</v>
      </c>
      <c r="G31" s="8">
        <v>45961</v>
      </c>
      <c r="H31" s="7" t="s">
        <v>221</v>
      </c>
      <c r="I31" s="7" t="s">
        <v>222</v>
      </c>
      <c r="J31" s="7">
        <v>2077920</v>
      </c>
      <c r="K31" s="7">
        <v>2077920</v>
      </c>
    </row>
    <row r="32" spans="1:11" s="7" customFormat="1" x14ac:dyDescent="0.2">
      <c r="A32" s="7" t="s">
        <v>226</v>
      </c>
      <c r="B32" s="7" t="s">
        <v>152</v>
      </c>
      <c r="C32" s="7" t="str">
        <f t="shared" si="0"/>
        <v>26</v>
      </c>
      <c r="D32" s="7" t="s">
        <v>227</v>
      </c>
      <c r="E32" s="7" t="s">
        <v>219</v>
      </c>
      <c r="F32" s="7" t="s">
        <v>228</v>
      </c>
      <c r="G32" s="8">
        <v>45961</v>
      </c>
      <c r="H32" s="7" t="s">
        <v>221</v>
      </c>
      <c r="I32" s="7" t="s">
        <v>222</v>
      </c>
      <c r="J32" s="7">
        <v>166500</v>
      </c>
      <c r="K32" s="7">
        <v>166500</v>
      </c>
    </row>
    <row r="33" spans="1:11" s="7" customFormat="1" x14ac:dyDescent="0.2">
      <c r="A33" s="7" t="s">
        <v>226</v>
      </c>
      <c r="B33" s="7" t="s">
        <v>154</v>
      </c>
      <c r="C33" s="7" t="str">
        <f t="shared" si="0"/>
        <v>26</v>
      </c>
      <c r="D33" s="7" t="s">
        <v>227</v>
      </c>
      <c r="E33" s="7" t="s">
        <v>219</v>
      </c>
      <c r="F33" s="7" t="s">
        <v>228</v>
      </c>
      <c r="G33" s="8">
        <v>45961</v>
      </c>
      <c r="H33" s="7" t="s">
        <v>221</v>
      </c>
      <c r="I33" s="7" t="s">
        <v>222</v>
      </c>
      <c r="J33" s="7">
        <v>532800</v>
      </c>
      <c r="K33" s="7">
        <v>532800</v>
      </c>
    </row>
    <row r="34" spans="1:11" s="7" customFormat="1" x14ac:dyDescent="0.2">
      <c r="A34" s="7" t="s">
        <v>226</v>
      </c>
      <c r="B34" s="7" t="s">
        <v>155</v>
      </c>
      <c r="C34" s="7" t="str">
        <f t="shared" si="0"/>
        <v>26</v>
      </c>
      <c r="D34" s="7" t="s">
        <v>227</v>
      </c>
      <c r="E34" s="7" t="s">
        <v>219</v>
      </c>
      <c r="F34" s="7" t="s">
        <v>228</v>
      </c>
      <c r="G34" s="8">
        <v>45961</v>
      </c>
      <c r="H34" s="7" t="s">
        <v>221</v>
      </c>
      <c r="I34" s="7" t="s">
        <v>222</v>
      </c>
      <c r="J34" s="7">
        <v>4270725</v>
      </c>
      <c r="K34" s="7">
        <v>4270725</v>
      </c>
    </row>
    <row r="35" spans="1:11" s="7" customFormat="1" x14ac:dyDescent="0.2">
      <c r="A35" s="7" t="s">
        <v>226</v>
      </c>
      <c r="B35" s="7" t="s">
        <v>161</v>
      </c>
      <c r="C35" s="7" t="str">
        <f t="shared" si="0"/>
        <v>26</v>
      </c>
      <c r="D35" s="7" t="s">
        <v>227</v>
      </c>
      <c r="E35" s="7" t="s">
        <v>219</v>
      </c>
      <c r="F35" s="7" t="s">
        <v>228</v>
      </c>
      <c r="G35" s="8">
        <v>45961</v>
      </c>
      <c r="H35" s="7" t="s">
        <v>221</v>
      </c>
      <c r="I35" s="7" t="s">
        <v>222</v>
      </c>
      <c r="J35" s="7">
        <v>304806</v>
      </c>
      <c r="K35" s="7">
        <v>304806</v>
      </c>
    </row>
    <row r="36" spans="1:11" s="7" customFormat="1" x14ac:dyDescent="0.2">
      <c r="A36" s="7" t="s">
        <v>226</v>
      </c>
      <c r="B36" s="7" t="s">
        <v>162</v>
      </c>
      <c r="C36" s="7" t="str">
        <f t="shared" si="0"/>
        <v>26</v>
      </c>
      <c r="D36" s="7" t="s">
        <v>227</v>
      </c>
      <c r="E36" s="7" t="s">
        <v>219</v>
      </c>
      <c r="F36" s="7" t="s">
        <v>228</v>
      </c>
      <c r="G36" s="8">
        <v>45961</v>
      </c>
      <c r="H36" s="7" t="s">
        <v>221</v>
      </c>
      <c r="I36" s="7" t="s">
        <v>222</v>
      </c>
      <c r="J36" s="7">
        <v>53280</v>
      </c>
      <c r="K36" s="7">
        <v>53280</v>
      </c>
    </row>
    <row r="37" spans="1:11" s="7" customFormat="1" x14ac:dyDescent="0.2">
      <c r="A37" s="7" t="s">
        <v>226</v>
      </c>
      <c r="B37" s="7" t="s">
        <v>163</v>
      </c>
      <c r="C37" s="7" t="str">
        <f t="shared" si="0"/>
        <v>26</v>
      </c>
      <c r="D37" s="7" t="s">
        <v>227</v>
      </c>
      <c r="E37" s="7" t="s">
        <v>219</v>
      </c>
      <c r="F37" s="7" t="s">
        <v>228</v>
      </c>
      <c r="G37" s="8">
        <v>45961</v>
      </c>
      <c r="H37" s="7" t="s">
        <v>221</v>
      </c>
      <c r="I37" s="7" t="s">
        <v>222</v>
      </c>
      <c r="J37" s="7">
        <v>1332000</v>
      </c>
      <c r="K37" s="7">
        <v>1332000</v>
      </c>
    </row>
    <row r="38" spans="1:11" s="7" customFormat="1" x14ac:dyDescent="0.2">
      <c r="A38" s="7" t="s">
        <v>226</v>
      </c>
      <c r="B38" s="7" t="s">
        <v>164</v>
      </c>
      <c r="C38" s="7" t="str">
        <f t="shared" si="0"/>
        <v>26</v>
      </c>
      <c r="D38" s="7" t="s">
        <v>227</v>
      </c>
      <c r="E38" s="7" t="s">
        <v>219</v>
      </c>
      <c r="F38" s="7" t="s">
        <v>228</v>
      </c>
      <c r="G38" s="8">
        <v>45961</v>
      </c>
      <c r="H38" s="7" t="s">
        <v>221</v>
      </c>
      <c r="I38" s="7" t="s">
        <v>222</v>
      </c>
      <c r="J38" s="7">
        <v>639360</v>
      </c>
      <c r="K38" s="7">
        <v>639360</v>
      </c>
    </row>
    <row r="39" spans="1:11" s="7" customFormat="1" x14ac:dyDescent="0.2">
      <c r="A39" s="7" t="s">
        <v>226</v>
      </c>
      <c r="B39" s="7" t="s">
        <v>165</v>
      </c>
      <c r="C39" s="7" t="str">
        <f t="shared" si="0"/>
        <v>26</v>
      </c>
      <c r="D39" s="7" t="s">
        <v>227</v>
      </c>
      <c r="E39" s="7" t="s">
        <v>219</v>
      </c>
      <c r="F39" s="7" t="s">
        <v>228</v>
      </c>
      <c r="G39" s="8">
        <v>45961</v>
      </c>
      <c r="H39" s="7" t="s">
        <v>221</v>
      </c>
      <c r="I39" s="7" t="s">
        <v>222</v>
      </c>
      <c r="J39" s="7">
        <v>244755</v>
      </c>
      <c r="K39" s="7">
        <v>244755</v>
      </c>
    </row>
    <row r="40" spans="1:11" s="7" customFormat="1" x14ac:dyDescent="0.2">
      <c r="A40" s="7" t="s">
        <v>226</v>
      </c>
      <c r="B40" s="7" t="s">
        <v>166</v>
      </c>
      <c r="C40" s="7" t="str">
        <f t="shared" si="0"/>
        <v>26</v>
      </c>
      <c r="D40" s="7" t="s">
        <v>227</v>
      </c>
      <c r="E40" s="7" t="s">
        <v>219</v>
      </c>
      <c r="F40" s="7" t="s">
        <v>228</v>
      </c>
      <c r="G40" s="8">
        <v>45961</v>
      </c>
      <c r="H40" s="7" t="s">
        <v>221</v>
      </c>
      <c r="I40" s="7" t="s">
        <v>222</v>
      </c>
      <c r="J40" s="7">
        <v>5328000</v>
      </c>
      <c r="K40" s="7">
        <v>5328000</v>
      </c>
    </row>
    <row r="41" spans="1:11" s="7" customFormat="1" x14ac:dyDescent="0.2">
      <c r="A41" s="7" t="s">
        <v>226</v>
      </c>
      <c r="B41" s="7" t="s">
        <v>170</v>
      </c>
      <c r="C41" s="7" t="str">
        <f t="shared" si="0"/>
        <v>26</v>
      </c>
      <c r="D41" s="7" t="s">
        <v>227</v>
      </c>
      <c r="E41" s="7" t="s">
        <v>219</v>
      </c>
      <c r="F41" s="7" t="s">
        <v>228</v>
      </c>
      <c r="G41" s="8">
        <v>45961</v>
      </c>
      <c r="H41" s="7" t="s">
        <v>221</v>
      </c>
      <c r="I41" s="7" t="s">
        <v>222</v>
      </c>
      <c r="J41" s="7">
        <v>69375</v>
      </c>
      <c r="K41" s="7">
        <v>69375</v>
      </c>
    </row>
    <row r="42" spans="1:11" s="7" customFormat="1" x14ac:dyDescent="0.2">
      <c r="A42" s="7" t="s">
        <v>226</v>
      </c>
      <c r="B42" s="7" t="s">
        <v>174</v>
      </c>
      <c r="C42" s="7" t="str">
        <f t="shared" si="0"/>
        <v>26</v>
      </c>
      <c r="D42" s="7" t="s">
        <v>227</v>
      </c>
      <c r="E42" s="7" t="s">
        <v>219</v>
      </c>
      <c r="F42" s="7" t="s">
        <v>228</v>
      </c>
      <c r="G42" s="8">
        <v>45961</v>
      </c>
      <c r="H42" s="7" t="s">
        <v>221</v>
      </c>
      <c r="I42" s="7" t="s">
        <v>222</v>
      </c>
      <c r="J42" s="7">
        <v>36075</v>
      </c>
      <c r="K42" s="7">
        <v>36075</v>
      </c>
    </row>
    <row r="43" spans="1:11" s="7" customFormat="1" x14ac:dyDescent="0.2">
      <c r="A43" s="7" t="s">
        <v>226</v>
      </c>
      <c r="B43" s="7" t="s">
        <v>176</v>
      </c>
      <c r="C43" s="7" t="str">
        <f t="shared" si="0"/>
        <v>26</v>
      </c>
      <c r="D43" s="7" t="s">
        <v>227</v>
      </c>
      <c r="E43" s="7" t="s">
        <v>219</v>
      </c>
      <c r="F43" s="7" t="s">
        <v>228</v>
      </c>
      <c r="G43" s="8">
        <v>45961</v>
      </c>
      <c r="H43" s="7" t="s">
        <v>221</v>
      </c>
      <c r="I43" s="7" t="s">
        <v>222</v>
      </c>
      <c r="J43" s="7">
        <v>7104000</v>
      </c>
      <c r="K43" s="7">
        <v>7104000</v>
      </c>
    </row>
    <row r="44" spans="1:11" s="7" customFormat="1" x14ac:dyDescent="0.2">
      <c r="A44" s="7" t="s">
        <v>226</v>
      </c>
      <c r="B44" s="7" t="s">
        <v>178</v>
      </c>
      <c r="C44" s="7" t="str">
        <f t="shared" si="0"/>
        <v>26</v>
      </c>
      <c r="D44" s="7" t="s">
        <v>227</v>
      </c>
      <c r="E44" s="7" t="s">
        <v>219</v>
      </c>
      <c r="F44" s="7" t="s">
        <v>228</v>
      </c>
      <c r="G44" s="8">
        <v>45961</v>
      </c>
      <c r="H44" s="7" t="s">
        <v>221</v>
      </c>
      <c r="I44" s="7" t="s">
        <v>222</v>
      </c>
      <c r="J44" s="7">
        <v>2664000</v>
      </c>
      <c r="K44" s="7">
        <v>2664000</v>
      </c>
    </row>
    <row r="45" spans="1:11" s="7" customFormat="1" x14ac:dyDescent="0.2">
      <c r="A45" s="7" t="s">
        <v>226</v>
      </c>
      <c r="B45" s="7" t="s">
        <v>183</v>
      </c>
      <c r="C45" s="7" t="str">
        <f t="shared" si="0"/>
        <v>26</v>
      </c>
      <c r="D45" s="7" t="s">
        <v>227</v>
      </c>
      <c r="E45" s="7" t="s">
        <v>219</v>
      </c>
      <c r="F45" s="7" t="s">
        <v>228</v>
      </c>
      <c r="G45" s="8">
        <v>45961</v>
      </c>
      <c r="H45" s="7" t="s">
        <v>221</v>
      </c>
      <c r="I45" s="7" t="s">
        <v>222</v>
      </c>
      <c r="J45" s="7">
        <v>271395</v>
      </c>
      <c r="K45" s="7">
        <v>271395</v>
      </c>
    </row>
    <row r="46" spans="1:11" s="7" customFormat="1" x14ac:dyDescent="0.2">
      <c r="A46" s="7" t="s">
        <v>226</v>
      </c>
      <c r="B46" s="7" t="s">
        <v>185</v>
      </c>
      <c r="C46" s="7" t="str">
        <f t="shared" si="0"/>
        <v>26</v>
      </c>
      <c r="D46" s="7" t="s">
        <v>227</v>
      </c>
      <c r="E46" s="7" t="s">
        <v>219</v>
      </c>
      <c r="F46" s="7" t="s">
        <v>228</v>
      </c>
      <c r="G46" s="8">
        <v>45961</v>
      </c>
      <c r="H46" s="7" t="s">
        <v>221</v>
      </c>
      <c r="I46" s="7" t="s">
        <v>222</v>
      </c>
      <c r="J46" s="7">
        <v>1132200</v>
      </c>
      <c r="K46" s="7">
        <v>1132200</v>
      </c>
    </row>
    <row r="47" spans="1:11" s="7" customFormat="1" x14ac:dyDescent="0.2">
      <c r="A47" s="7" t="s">
        <v>226</v>
      </c>
      <c r="B47" s="7" t="s">
        <v>186</v>
      </c>
      <c r="C47" s="7" t="str">
        <f t="shared" si="0"/>
        <v>26</v>
      </c>
      <c r="D47" s="7" t="s">
        <v>227</v>
      </c>
      <c r="E47" s="7" t="s">
        <v>219</v>
      </c>
      <c r="F47" s="7" t="s">
        <v>228</v>
      </c>
      <c r="G47" s="8">
        <v>45961</v>
      </c>
      <c r="H47" s="7" t="s">
        <v>221</v>
      </c>
      <c r="I47" s="7" t="s">
        <v>222</v>
      </c>
      <c r="J47" s="7">
        <v>245310</v>
      </c>
      <c r="K47" s="7">
        <v>245310</v>
      </c>
    </row>
    <row r="48" spans="1:11" s="7" customFormat="1" x14ac:dyDescent="0.2">
      <c r="A48" s="7" t="s">
        <v>226</v>
      </c>
      <c r="B48" s="7" t="s">
        <v>187</v>
      </c>
      <c r="C48" s="7" t="str">
        <f t="shared" si="0"/>
        <v>26</v>
      </c>
      <c r="D48" s="7" t="s">
        <v>227</v>
      </c>
      <c r="E48" s="7" t="s">
        <v>219</v>
      </c>
      <c r="F48" s="7" t="s">
        <v>228</v>
      </c>
      <c r="G48" s="8">
        <v>45961</v>
      </c>
      <c r="H48" s="7" t="s">
        <v>221</v>
      </c>
      <c r="I48" s="7" t="s">
        <v>222</v>
      </c>
      <c r="J48" s="7">
        <v>213120</v>
      </c>
      <c r="K48" s="7">
        <v>213120</v>
      </c>
    </row>
    <row r="49" spans="1:11" s="7" customFormat="1" x14ac:dyDescent="0.2">
      <c r="A49" s="7" t="s">
        <v>226</v>
      </c>
      <c r="B49" s="7" t="s">
        <v>188</v>
      </c>
      <c r="C49" s="7" t="str">
        <f t="shared" si="0"/>
        <v>26</v>
      </c>
      <c r="D49" s="7" t="s">
        <v>227</v>
      </c>
      <c r="E49" s="7" t="s">
        <v>219</v>
      </c>
      <c r="F49" s="7" t="s">
        <v>228</v>
      </c>
      <c r="G49" s="8">
        <v>45961</v>
      </c>
      <c r="H49" s="7" t="s">
        <v>221</v>
      </c>
      <c r="I49" s="7" t="s">
        <v>222</v>
      </c>
      <c r="J49" s="7">
        <v>799200</v>
      </c>
      <c r="K49" s="7">
        <v>799200</v>
      </c>
    </row>
    <row r="50" spans="1:11" s="7" customFormat="1" x14ac:dyDescent="0.2">
      <c r="A50" s="7" t="s">
        <v>226</v>
      </c>
      <c r="B50" s="7" t="s">
        <v>189</v>
      </c>
      <c r="C50" s="7" t="str">
        <f t="shared" si="0"/>
        <v>26</v>
      </c>
      <c r="D50" s="7" t="s">
        <v>227</v>
      </c>
      <c r="E50" s="7" t="s">
        <v>219</v>
      </c>
      <c r="F50" s="7" t="s">
        <v>228</v>
      </c>
      <c r="G50" s="8">
        <v>45961</v>
      </c>
      <c r="H50" s="7" t="s">
        <v>221</v>
      </c>
      <c r="I50" s="7" t="s">
        <v>222</v>
      </c>
      <c r="J50" s="7">
        <v>489510</v>
      </c>
      <c r="K50" s="7">
        <v>489510</v>
      </c>
    </row>
    <row r="51" spans="1:11" s="7" customFormat="1" x14ac:dyDescent="0.2">
      <c r="A51" s="7" t="s">
        <v>226</v>
      </c>
      <c r="B51" s="7" t="s">
        <v>190</v>
      </c>
      <c r="C51" s="7" t="str">
        <f t="shared" si="0"/>
        <v>26</v>
      </c>
      <c r="D51" s="7" t="s">
        <v>227</v>
      </c>
      <c r="E51" s="7" t="s">
        <v>219</v>
      </c>
      <c r="F51" s="7" t="s">
        <v>228</v>
      </c>
      <c r="G51" s="8">
        <v>45961</v>
      </c>
      <c r="H51" s="7" t="s">
        <v>221</v>
      </c>
      <c r="I51" s="7" t="s">
        <v>222</v>
      </c>
      <c r="J51" s="7">
        <v>4162500</v>
      </c>
      <c r="K51" s="7">
        <v>4162500</v>
      </c>
    </row>
    <row r="52" spans="1:11" s="7" customFormat="1" x14ac:dyDescent="0.2">
      <c r="A52" s="7" t="s">
        <v>229</v>
      </c>
      <c r="B52" s="7" t="s">
        <v>194</v>
      </c>
      <c r="C52" s="7" t="str">
        <f t="shared" si="0"/>
        <v>26</v>
      </c>
      <c r="D52" s="7" t="s">
        <v>227</v>
      </c>
      <c r="E52" s="7" t="s">
        <v>219</v>
      </c>
      <c r="F52" s="7" t="s">
        <v>230</v>
      </c>
      <c r="G52" s="8">
        <v>45961</v>
      </c>
      <c r="H52" s="7" t="s">
        <v>221</v>
      </c>
      <c r="I52" s="7" t="s">
        <v>222</v>
      </c>
      <c r="J52" s="7">
        <v>353414</v>
      </c>
      <c r="K52" s="7">
        <v>353414</v>
      </c>
    </row>
    <row r="53" spans="1:11" s="7" customFormat="1" x14ac:dyDescent="0.2">
      <c r="A53" s="7" t="s">
        <v>229</v>
      </c>
      <c r="B53" s="7" t="s">
        <v>196</v>
      </c>
      <c r="C53" s="7" t="str">
        <f t="shared" si="0"/>
        <v>26</v>
      </c>
      <c r="D53" s="7" t="s">
        <v>227</v>
      </c>
      <c r="E53" s="7" t="s">
        <v>219</v>
      </c>
      <c r="F53" s="7" t="s">
        <v>230</v>
      </c>
      <c r="G53" s="8">
        <v>45961</v>
      </c>
      <c r="H53" s="7" t="s">
        <v>221</v>
      </c>
      <c r="I53" s="7" t="s">
        <v>222</v>
      </c>
      <c r="J53" s="7">
        <v>132018</v>
      </c>
      <c r="K53" s="7">
        <v>132018</v>
      </c>
    </row>
    <row r="54" spans="1:11" s="7" customFormat="1" x14ac:dyDescent="0.2">
      <c r="A54" s="7" t="s">
        <v>231</v>
      </c>
      <c r="B54" s="7" t="s">
        <v>40</v>
      </c>
      <c r="C54" s="7" t="str">
        <f t="shared" si="0"/>
        <v>07</v>
      </c>
      <c r="D54" s="7" t="s">
        <v>232</v>
      </c>
      <c r="E54" s="7" t="s">
        <v>233</v>
      </c>
      <c r="F54" s="7" t="s">
        <v>234</v>
      </c>
      <c r="G54" s="8">
        <v>45961</v>
      </c>
      <c r="H54" s="7" t="s">
        <v>221</v>
      </c>
      <c r="I54" s="7" t="s">
        <v>222</v>
      </c>
      <c r="J54" s="7">
        <v>1818653</v>
      </c>
      <c r="K54" s="7">
        <v>1818653</v>
      </c>
    </row>
    <row r="55" spans="1:11" s="7" customFormat="1" x14ac:dyDescent="0.2">
      <c r="A55" s="7" t="s">
        <v>235</v>
      </c>
      <c r="B55" s="7" t="s">
        <v>68</v>
      </c>
      <c r="C55" s="7" t="str">
        <f t="shared" si="0"/>
        <v>07</v>
      </c>
      <c r="D55" s="7" t="s">
        <v>218</v>
      </c>
      <c r="E55" s="7" t="s">
        <v>233</v>
      </c>
      <c r="F55" s="7" t="s">
        <v>236</v>
      </c>
      <c r="G55" s="8">
        <v>45952</v>
      </c>
      <c r="H55" s="7" t="s">
        <v>221</v>
      </c>
      <c r="I55" s="7" t="s">
        <v>222</v>
      </c>
      <c r="J55" s="7">
        <v>989942</v>
      </c>
      <c r="K55" s="7">
        <v>989942</v>
      </c>
    </row>
    <row r="56" spans="1:11" s="7" customFormat="1" x14ac:dyDescent="0.2">
      <c r="A56" s="7" t="s">
        <v>237</v>
      </c>
      <c r="B56" s="7" t="s">
        <v>77</v>
      </c>
      <c r="C56" s="7" t="str">
        <f t="shared" si="0"/>
        <v>07</v>
      </c>
      <c r="D56" s="7" t="s">
        <v>218</v>
      </c>
      <c r="E56" s="7" t="s">
        <v>233</v>
      </c>
      <c r="F56" s="7" t="s">
        <v>238</v>
      </c>
      <c r="G56" s="8">
        <v>45954</v>
      </c>
      <c r="H56" s="7" t="s">
        <v>221</v>
      </c>
      <c r="I56" s="7" t="s">
        <v>222</v>
      </c>
      <c r="J56" s="7">
        <v>13059150</v>
      </c>
      <c r="K56" s="7">
        <v>13059150</v>
      </c>
    </row>
    <row r="57" spans="1:11" s="7" customFormat="1" x14ac:dyDescent="0.2">
      <c r="A57" s="7" t="s">
        <v>237</v>
      </c>
      <c r="B57" s="7" t="s">
        <v>90</v>
      </c>
      <c r="C57" s="7" t="str">
        <f t="shared" si="0"/>
        <v>07</v>
      </c>
      <c r="D57" s="7" t="s">
        <v>218</v>
      </c>
      <c r="E57" s="7" t="s">
        <v>233</v>
      </c>
      <c r="F57" s="7" t="s">
        <v>238</v>
      </c>
      <c r="G57" s="8">
        <v>45954</v>
      </c>
      <c r="H57" s="7" t="s">
        <v>221</v>
      </c>
      <c r="I57" s="7" t="s">
        <v>222</v>
      </c>
      <c r="J57" s="7">
        <v>2207790</v>
      </c>
      <c r="K57" s="7">
        <v>2207790</v>
      </c>
    </row>
    <row r="58" spans="1:11" s="7" customFormat="1" x14ac:dyDescent="0.2">
      <c r="A58" s="7" t="s">
        <v>239</v>
      </c>
      <c r="B58" s="7" t="s">
        <v>240</v>
      </c>
      <c r="C58" s="7" t="str">
        <f t="shared" si="0"/>
        <v>00</v>
      </c>
      <c r="D58" s="7" t="s">
        <v>232</v>
      </c>
      <c r="E58" s="7" t="s">
        <v>241</v>
      </c>
      <c r="F58" s="7" t="s">
        <v>242</v>
      </c>
      <c r="G58" s="8">
        <v>45961</v>
      </c>
      <c r="H58" s="7" t="s">
        <v>221</v>
      </c>
      <c r="I58" s="7" t="s">
        <v>243</v>
      </c>
      <c r="J58" s="7">
        <v>-262311</v>
      </c>
      <c r="K58" s="7">
        <v>-262311</v>
      </c>
    </row>
    <row r="59" spans="1:11" s="7" customFormat="1" x14ac:dyDescent="0.2">
      <c r="A59" s="7" t="s">
        <v>244</v>
      </c>
      <c r="B59" s="7" t="s">
        <v>45</v>
      </c>
      <c r="C59" s="7" t="str">
        <f t="shared" si="0"/>
        <v>28</v>
      </c>
      <c r="D59" s="7" t="s">
        <v>233</v>
      </c>
      <c r="E59" s="7" t="s">
        <v>232</v>
      </c>
      <c r="F59" s="7" t="s">
        <v>245</v>
      </c>
      <c r="G59" s="8">
        <v>45961</v>
      </c>
      <c r="H59" s="7" t="s">
        <v>221</v>
      </c>
      <c r="I59" s="7" t="s">
        <v>222</v>
      </c>
      <c r="J59" s="7">
        <v>197435</v>
      </c>
      <c r="K59" s="7">
        <v>197435</v>
      </c>
    </row>
    <row r="60" spans="1:11" s="7" customFormat="1" x14ac:dyDescent="0.2">
      <c r="A60" s="7" t="s">
        <v>246</v>
      </c>
      <c r="B60" s="7" t="s">
        <v>74</v>
      </c>
      <c r="C60" s="7" t="str">
        <f t="shared" si="0"/>
        <v>28</v>
      </c>
      <c r="D60" s="7" t="s">
        <v>218</v>
      </c>
      <c r="E60" s="7" t="s">
        <v>232</v>
      </c>
      <c r="F60" s="7" t="s">
        <v>247</v>
      </c>
      <c r="G60" s="8">
        <v>45959</v>
      </c>
      <c r="H60" s="7" t="s">
        <v>221</v>
      </c>
      <c r="I60" s="7" t="s">
        <v>222</v>
      </c>
      <c r="J60" s="7">
        <v>592307</v>
      </c>
      <c r="K60" s="7">
        <v>592307</v>
      </c>
    </row>
    <row r="61" spans="1:11" s="7" customFormat="1" x14ac:dyDescent="0.2">
      <c r="A61" s="7" t="s">
        <v>246</v>
      </c>
      <c r="B61" s="7" t="s">
        <v>94</v>
      </c>
      <c r="C61" s="7" t="str">
        <f t="shared" si="0"/>
        <v>28</v>
      </c>
      <c r="D61" s="7" t="s">
        <v>218</v>
      </c>
      <c r="E61" s="7" t="s">
        <v>232</v>
      </c>
      <c r="F61" s="7" t="s">
        <v>247</v>
      </c>
      <c r="G61" s="8">
        <v>45959</v>
      </c>
      <c r="H61" s="7" t="s">
        <v>221</v>
      </c>
      <c r="I61" s="7" t="s">
        <v>222</v>
      </c>
      <c r="J61" s="7">
        <v>4539609</v>
      </c>
      <c r="K61" s="7">
        <v>4539609</v>
      </c>
    </row>
    <row r="62" spans="1:11" s="7" customFormat="1" x14ac:dyDescent="0.2">
      <c r="A62" s="7" t="s">
        <v>246</v>
      </c>
      <c r="B62" s="7" t="s">
        <v>106</v>
      </c>
      <c r="C62" s="7" t="str">
        <f t="shared" si="0"/>
        <v>28</v>
      </c>
      <c r="D62" s="7" t="s">
        <v>218</v>
      </c>
      <c r="E62" s="7" t="s">
        <v>232</v>
      </c>
      <c r="F62" s="7" t="s">
        <v>247</v>
      </c>
      <c r="G62" s="8">
        <v>45959</v>
      </c>
      <c r="H62" s="7" t="s">
        <v>221</v>
      </c>
      <c r="I62" s="7" t="s">
        <v>222</v>
      </c>
      <c r="J62" s="7">
        <v>1078388</v>
      </c>
      <c r="K62" s="7">
        <v>1078388</v>
      </c>
    </row>
    <row r="63" spans="1:11" s="7" customFormat="1" x14ac:dyDescent="0.2">
      <c r="A63" s="7" t="s">
        <v>246</v>
      </c>
      <c r="B63" s="7" t="s">
        <v>127</v>
      </c>
      <c r="C63" s="7" t="str">
        <f t="shared" si="0"/>
        <v>28</v>
      </c>
      <c r="D63" s="7" t="s">
        <v>218</v>
      </c>
      <c r="E63" s="7" t="s">
        <v>232</v>
      </c>
      <c r="F63" s="7" t="s">
        <v>247</v>
      </c>
      <c r="G63" s="8">
        <v>45959</v>
      </c>
      <c r="H63" s="7" t="s">
        <v>221</v>
      </c>
      <c r="I63" s="7" t="s">
        <v>222</v>
      </c>
      <c r="J63" s="7">
        <v>380512</v>
      </c>
      <c r="K63" s="7">
        <v>380512</v>
      </c>
    </row>
    <row r="64" spans="1:11" s="7" customFormat="1" x14ac:dyDescent="0.2">
      <c r="A64" s="7" t="s">
        <v>248</v>
      </c>
      <c r="B64" s="7" t="s">
        <v>157</v>
      </c>
      <c r="C64" s="7" t="str">
        <f t="shared" si="0"/>
        <v>28</v>
      </c>
      <c r="D64" s="7" t="s">
        <v>227</v>
      </c>
      <c r="E64" s="7" t="s">
        <v>232</v>
      </c>
      <c r="F64" s="7" t="s">
        <v>249</v>
      </c>
      <c r="G64" s="8">
        <v>45961</v>
      </c>
      <c r="H64" s="7" t="s">
        <v>221</v>
      </c>
      <c r="I64" s="7" t="s">
        <v>222</v>
      </c>
      <c r="J64" s="7">
        <v>197435</v>
      </c>
      <c r="K64" s="7">
        <v>197435</v>
      </c>
    </row>
    <row r="65" spans="1:11" s="7" customFormat="1" x14ac:dyDescent="0.2">
      <c r="A65" s="7" t="s">
        <v>248</v>
      </c>
      <c r="B65" s="7" t="s">
        <v>167</v>
      </c>
      <c r="C65" s="7" t="str">
        <f t="shared" si="0"/>
        <v>28</v>
      </c>
      <c r="D65" s="7" t="s">
        <v>227</v>
      </c>
      <c r="E65" s="7" t="s">
        <v>232</v>
      </c>
      <c r="F65" s="7" t="s">
        <v>249</v>
      </c>
      <c r="G65" s="8">
        <v>45961</v>
      </c>
      <c r="H65" s="7" t="s">
        <v>221</v>
      </c>
      <c r="I65" s="7" t="s">
        <v>222</v>
      </c>
      <c r="J65" s="7">
        <v>4539581</v>
      </c>
      <c r="K65" s="7">
        <v>4539581</v>
      </c>
    </row>
    <row r="66" spans="1:11" s="7" customFormat="1" x14ac:dyDescent="0.2">
      <c r="A66" s="7" t="s">
        <v>248</v>
      </c>
      <c r="B66" s="7" t="s">
        <v>180</v>
      </c>
      <c r="C66" s="7" t="str">
        <f t="shared" si="0"/>
        <v>28</v>
      </c>
      <c r="D66" s="7" t="s">
        <v>227</v>
      </c>
      <c r="E66" s="7" t="s">
        <v>232</v>
      </c>
      <c r="F66" s="7" t="s">
        <v>249</v>
      </c>
      <c r="G66" s="8">
        <v>45961</v>
      </c>
      <c r="H66" s="7" t="s">
        <v>221</v>
      </c>
      <c r="I66" s="7" t="s">
        <v>222</v>
      </c>
      <c r="J66" s="7">
        <v>2521803</v>
      </c>
      <c r="K66" s="7">
        <v>2521803</v>
      </c>
    </row>
    <row r="67" spans="1:11" s="7" customFormat="1" x14ac:dyDescent="0.2">
      <c r="A67" s="7" t="s">
        <v>248</v>
      </c>
      <c r="B67" s="7" t="s">
        <v>191</v>
      </c>
      <c r="C67" s="7" t="str">
        <f t="shared" si="0"/>
        <v>28</v>
      </c>
      <c r="D67" s="7" t="s">
        <v>227</v>
      </c>
      <c r="E67" s="7" t="s">
        <v>232</v>
      </c>
      <c r="F67" s="7" t="s">
        <v>249</v>
      </c>
      <c r="G67" s="8">
        <v>45961</v>
      </c>
      <c r="H67" s="7" t="s">
        <v>221</v>
      </c>
      <c r="I67" s="7" t="s">
        <v>222</v>
      </c>
      <c r="J67" s="7">
        <v>197435</v>
      </c>
      <c r="K67" s="7">
        <v>197435</v>
      </c>
    </row>
    <row r="68" spans="1:11" s="7" customFormat="1" x14ac:dyDescent="0.2">
      <c r="A68" s="7" t="s">
        <v>248</v>
      </c>
      <c r="B68" s="7" t="s">
        <v>203</v>
      </c>
      <c r="C68" s="7" t="str">
        <f t="shared" si="0"/>
        <v>28</v>
      </c>
      <c r="D68" s="7" t="s">
        <v>227</v>
      </c>
      <c r="E68" s="7" t="s">
        <v>232</v>
      </c>
      <c r="F68" s="7" t="s">
        <v>249</v>
      </c>
      <c r="G68" s="8">
        <v>45961</v>
      </c>
      <c r="H68" s="7" t="s">
        <v>221</v>
      </c>
      <c r="I68" s="7" t="s">
        <v>222</v>
      </c>
      <c r="J68" s="7">
        <v>1488057</v>
      </c>
      <c r="K68" s="7">
        <v>1488057</v>
      </c>
    </row>
    <row r="69" spans="1:11" s="7" customFormat="1" x14ac:dyDescent="0.2">
      <c r="A69" s="7" t="s">
        <v>250</v>
      </c>
      <c r="B69" s="7" t="s">
        <v>28</v>
      </c>
      <c r="C69" s="7" t="str">
        <f t="shared" ref="C69:C78" si="1">MID(A69,3,2)</f>
        <v>21</v>
      </c>
      <c r="D69" s="7" t="s">
        <v>251</v>
      </c>
      <c r="E69" s="7" t="s">
        <v>252</v>
      </c>
      <c r="F69" s="7" t="s">
        <v>253</v>
      </c>
      <c r="G69" s="8">
        <v>45961</v>
      </c>
      <c r="H69" s="7" t="s">
        <v>221</v>
      </c>
      <c r="I69" s="7" t="s">
        <v>222</v>
      </c>
      <c r="J69" s="7">
        <v>2062573</v>
      </c>
      <c r="K69" s="7">
        <v>204399</v>
      </c>
    </row>
    <row r="70" spans="1:11" s="7" customFormat="1" x14ac:dyDescent="0.2">
      <c r="A70" s="7" t="s">
        <v>250</v>
      </c>
      <c r="B70" s="7" t="s">
        <v>38</v>
      </c>
      <c r="C70" s="7" t="str">
        <f t="shared" si="1"/>
        <v>21</v>
      </c>
      <c r="D70" s="7" t="s">
        <v>251</v>
      </c>
      <c r="E70" s="7" t="s">
        <v>252</v>
      </c>
      <c r="F70" s="7" t="s">
        <v>253</v>
      </c>
      <c r="G70" s="8">
        <v>45961</v>
      </c>
      <c r="H70" s="7" t="s">
        <v>221</v>
      </c>
      <c r="I70" s="7" t="s">
        <v>222</v>
      </c>
      <c r="J70" s="7">
        <v>502293</v>
      </c>
      <c r="K70" s="7">
        <v>49776</v>
      </c>
    </row>
    <row r="71" spans="1:11" s="7" customFormat="1" x14ac:dyDescent="0.2">
      <c r="A71" s="7" t="s">
        <v>254</v>
      </c>
      <c r="B71" s="7" t="s">
        <v>255</v>
      </c>
      <c r="C71" s="7" t="str">
        <f t="shared" si="1"/>
        <v>21</v>
      </c>
      <c r="D71" s="7" t="s">
        <v>256</v>
      </c>
      <c r="E71" s="7" t="s">
        <v>252</v>
      </c>
      <c r="F71" s="7" t="s">
        <v>257</v>
      </c>
      <c r="G71" s="8">
        <v>45961</v>
      </c>
      <c r="H71" s="7" t="s">
        <v>221</v>
      </c>
      <c r="I71" s="7" t="s">
        <v>243</v>
      </c>
      <c r="J71" s="7">
        <v>-11730200</v>
      </c>
      <c r="K71" s="7">
        <v>-2622783</v>
      </c>
    </row>
    <row r="72" spans="1:11" s="7" customFormat="1" x14ac:dyDescent="0.2">
      <c r="A72" s="7" t="s">
        <v>258</v>
      </c>
      <c r="B72" s="7" t="s">
        <v>198</v>
      </c>
      <c r="C72" s="7" t="str">
        <f t="shared" si="1"/>
        <v>25</v>
      </c>
      <c r="D72" s="7" t="s">
        <v>227</v>
      </c>
      <c r="E72" s="7" t="s">
        <v>218</v>
      </c>
      <c r="F72" s="7" t="s">
        <v>259</v>
      </c>
      <c r="G72" s="8">
        <v>45961</v>
      </c>
      <c r="H72" s="7" t="s">
        <v>221</v>
      </c>
      <c r="I72" s="7" t="s">
        <v>222</v>
      </c>
      <c r="J72" s="7">
        <v>1298700</v>
      </c>
      <c r="K72" s="7">
        <v>1298700</v>
      </c>
    </row>
    <row r="73" spans="1:11" s="7" customFormat="1" x14ac:dyDescent="0.2">
      <c r="A73" s="7" t="s">
        <v>260</v>
      </c>
      <c r="B73" s="7" t="s">
        <v>48</v>
      </c>
      <c r="C73" s="7" t="str">
        <f t="shared" si="1"/>
        <v>13</v>
      </c>
      <c r="D73" s="7" t="s">
        <v>261</v>
      </c>
      <c r="E73" s="7" t="s">
        <v>262</v>
      </c>
      <c r="F73" s="7" t="s">
        <v>263</v>
      </c>
      <c r="G73" s="8">
        <v>45960</v>
      </c>
      <c r="H73" s="7" t="s">
        <v>221</v>
      </c>
      <c r="I73" s="7" t="s">
        <v>222</v>
      </c>
      <c r="J73" s="7">
        <v>270751</v>
      </c>
      <c r="K73" s="7">
        <v>270751</v>
      </c>
    </row>
    <row r="74" spans="1:11" s="7" customFormat="1" x14ac:dyDescent="0.2">
      <c r="A74" s="7" t="s">
        <v>260</v>
      </c>
      <c r="B74" s="7" t="s">
        <v>53</v>
      </c>
      <c r="C74" s="7" t="str">
        <f t="shared" si="1"/>
        <v>13</v>
      </c>
      <c r="D74" s="7" t="s">
        <v>261</v>
      </c>
      <c r="E74" s="7" t="s">
        <v>262</v>
      </c>
      <c r="F74" s="7" t="s">
        <v>263</v>
      </c>
      <c r="G74" s="8">
        <v>45960</v>
      </c>
      <c r="H74" s="7" t="s">
        <v>221</v>
      </c>
      <c r="I74" s="7" t="s">
        <v>222</v>
      </c>
      <c r="J74" s="7">
        <v>589001</v>
      </c>
      <c r="K74" s="7">
        <v>589001</v>
      </c>
    </row>
    <row r="75" spans="1:11" s="7" customFormat="1" x14ac:dyDescent="0.2">
      <c r="A75" s="7" t="s">
        <v>260</v>
      </c>
      <c r="B75" s="7" t="s">
        <v>55</v>
      </c>
      <c r="C75" s="7" t="str">
        <f t="shared" si="1"/>
        <v>13</v>
      </c>
      <c r="D75" s="7" t="s">
        <v>261</v>
      </c>
      <c r="E75" s="7" t="s">
        <v>262</v>
      </c>
      <c r="F75" s="7" t="s">
        <v>263</v>
      </c>
      <c r="G75" s="8">
        <v>45960</v>
      </c>
      <c r="H75" s="7" t="s">
        <v>221</v>
      </c>
      <c r="I75" s="7" t="s">
        <v>222</v>
      </c>
      <c r="J75" s="7">
        <v>180500</v>
      </c>
      <c r="K75" s="7">
        <v>180500</v>
      </c>
    </row>
    <row r="76" spans="1:11" s="7" customFormat="1" x14ac:dyDescent="0.2">
      <c r="A76" s="7" t="s">
        <v>260</v>
      </c>
      <c r="B76" s="7" t="s">
        <v>59</v>
      </c>
      <c r="C76" s="7" t="str">
        <f t="shared" si="1"/>
        <v>13</v>
      </c>
      <c r="D76" s="7" t="s">
        <v>261</v>
      </c>
      <c r="E76" s="7" t="s">
        <v>262</v>
      </c>
      <c r="F76" s="7" t="s">
        <v>263</v>
      </c>
      <c r="G76" s="8">
        <v>45960</v>
      </c>
      <c r="H76" s="7" t="s">
        <v>221</v>
      </c>
      <c r="I76" s="7" t="s">
        <v>222</v>
      </c>
      <c r="J76" s="7">
        <v>275499</v>
      </c>
      <c r="K76" s="7">
        <v>275499</v>
      </c>
    </row>
    <row r="77" spans="1:11" s="7" customFormat="1" x14ac:dyDescent="0.2">
      <c r="A77" s="7" t="s">
        <v>264</v>
      </c>
      <c r="B77" s="7" t="s">
        <v>62</v>
      </c>
      <c r="C77" s="7" t="str">
        <f t="shared" si="1"/>
        <v>13</v>
      </c>
      <c r="D77" s="7" t="s">
        <v>265</v>
      </c>
      <c r="E77" s="7" t="s">
        <v>262</v>
      </c>
      <c r="F77" s="7" t="s">
        <v>29</v>
      </c>
      <c r="G77" s="8">
        <v>45960</v>
      </c>
      <c r="H77" s="7" t="s">
        <v>221</v>
      </c>
      <c r="I77" s="7" t="s">
        <v>222</v>
      </c>
      <c r="J77" s="7">
        <v>350535</v>
      </c>
      <c r="K77" s="7">
        <v>350535</v>
      </c>
    </row>
    <row r="78" spans="1:11" s="7" customFormat="1" x14ac:dyDescent="0.2">
      <c r="A78" s="7" t="s">
        <v>264</v>
      </c>
      <c r="B78" s="7" t="s">
        <v>67</v>
      </c>
      <c r="C78" s="7" t="str">
        <f t="shared" si="1"/>
        <v>13</v>
      </c>
      <c r="D78" s="7" t="s">
        <v>265</v>
      </c>
      <c r="E78" s="7" t="s">
        <v>262</v>
      </c>
      <c r="F78" s="7" t="s">
        <v>29</v>
      </c>
      <c r="G78" s="8">
        <v>45960</v>
      </c>
      <c r="H78" s="7" t="s">
        <v>221</v>
      </c>
      <c r="I78" s="7" t="s">
        <v>222</v>
      </c>
      <c r="J78" s="7">
        <v>1734264</v>
      </c>
      <c r="K78" s="7">
        <v>1734264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Invoice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yudhiit</cp:lastModifiedBy>
  <dcterms:modified xsi:type="dcterms:W3CDTF">2025-11-01T03:57:34Z</dcterms:modified>
</cp:coreProperties>
</file>