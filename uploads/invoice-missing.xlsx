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Coralis\Eksport Implementasi\20251114\Eksport\"/>
    </mc:Choice>
  </mc:AlternateContent>
  <bookViews>
    <workbookView xWindow="0" yWindow="0" windowWidth="28800" windowHeight="12585"/>
  </bookViews>
  <sheets>
    <sheet name="Sales Invoice" sheetId="1" r:id="rId1"/>
  </sheets>
  <externalReferences>
    <externalReference r:id="rId2"/>
  </externalReferences>
  <calcPr calcId="152511"/>
  <extLst>
    <ext uri="GoogleSheetsCustomDataVersion2">
      <go:sheetsCustomData xmlns:go="http://customooxmlschemas.google.com/" r:id="rId5" roundtripDataChecksum="+3tdhb27n6lcxkwoX2WchSCFs/LtueZG4Fz2Voav9sk="/>
    </ext>
  </extLst>
</workbook>
</file>

<file path=xl/calcChain.xml><?xml version="1.0" encoding="utf-8"?>
<calcChain xmlns="http://schemas.openxmlformats.org/spreadsheetml/2006/main">
  <c r="R91" i="1" l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</calcChain>
</file>

<file path=xl/sharedStrings.xml><?xml version="1.0" encoding="utf-8"?>
<sst xmlns="http://schemas.openxmlformats.org/spreadsheetml/2006/main" count="1180" uniqueCount="252">
  <si>
    <t>tanggal_invoice</t>
  </si>
  <si>
    <t>nomor_invoice</t>
  </si>
  <si>
    <t>catatan</t>
  </si>
  <si>
    <t>kode_cabang</t>
  </si>
  <si>
    <t>kode_outlet</t>
  </si>
  <si>
    <t>divisi</t>
  </si>
  <si>
    <t>prinsipal_b2b</t>
  </si>
  <si>
    <t>cara_bayar</t>
  </si>
  <si>
    <t>sumber_pesanan</t>
  </si>
  <si>
    <t>kode_rayon</t>
  </si>
  <si>
    <t>nama_salesman</t>
  </si>
  <si>
    <t>pakai_materai</t>
  </si>
  <si>
    <t>total_harga</t>
  </si>
  <si>
    <t>ppn</t>
  </si>
  <si>
    <t>diskon_tunai</t>
  </si>
  <si>
    <t>jenis_transaksi</t>
  </si>
  <si>
    <t>nomor_retur_invoice</t>
  </si>
  <si>
    <t>kode_cabang_penagihan</t>
  </si>
  <si>
    <t>ex: 2025/08/01</t>
  </si>
  <si>
    <t>Freetext</t>
  </si>
  <si>
    <t>ex: Kredit/Tunai</t>
  </si>
  <si>
    <t>ex: Telepon, Salesman, etc</t>
  </si>
  <si>
    <t>ex: Ya/Tidak</t>
  </si>
  <si>
    <t>ex: angka</t>
  </si>
  <si>
    <t>ex: Reguler, Konsinyasi, Tender</t>
  </si>
  <si>
    <t>ex: Kosongkan jika invoice tidak/bukan retur</t>
  </si>
  <si>
    <t>07ASB24028161</t>
  </si>
  <si>
    <t/>
  </si>
  <si>
    <t>07</t>
  </si>
  <si>
    <t>067687</t>
  </si>
  <si>
    <t>Pharmacy</t>
  </si>
  <si>
    <t>TIDAK</t>
  </si>
  <si>
    <t>KREDIT</t>
  </si>
  <si>
    <t>SALESMAN</t>
  </si>
  <si>
    <t>DK REG 5</t>
  </si>
  <si>
    <t>SAHRONI</t>
  </si>
  <si>
    <t>Reguler</t>
  </si>
  <si>
    <t>07ASB25034549</t>
  </si>
  <si>
    <t>067641</t>
  </si>
  <si>
    <t>TELEPON</t>
  </si>
  <si>
    <t>DK PAR 4</t>
  </si>
  <si>
    <t>ARTATIANTO</t>
  </si>
  <si>
    <t>07ASB25034824</t>
  </si>
  <si>
    <t>07ASB25034950</t>
  </si>
  <si>
    <t xml:space="preserve">1869/AS/02/2021 </t>
  </si>
  <si>
    <t>07ASB25034968</t>
  </si>
  <si>
    <t xml:space="preserve">02451/AS/03/2024 </t>
  </si>
  <si>
    <t>07ASB25035316</t>
  </si>
  <si>
    <t>07ASB25035953</t>
  </si>
  <si>
    <t>067514</t>
  </si>
  <si>
    <t>TUNAI</t>
  </si>
  <si>
    <t>OUTLET</t>
  </si>
  <si>
    <t>RAYON OFFI</t>
  </si>
  <si>
    <t>OFFICE</t>
  </si>
  <si>
    <t>12ASB25021890</t>
  </si>
  <si>
    <t xml:space="preserve">065802/TCF/10/2025 </t>
  </si>
  <si>
    <t>12</t>
  </si>
  <si>
    <t>060650</t>
  </si>
  <si>
    <t>LK_VI</t>
  </si>
  <si>
    <t>EKO SUTANTO</t>
  </si>
  <si>
    <t>12ASB25022059</t>
  </si>
  <si>
    <t>12ASB25022087</t>
  </si>
  <si>
    <t xml:space="preserve">066465/TCF/10/2025 </t>
  </si>
  <si>
    <t>12ASB25022431</t>
  </si>
  <si>
    <t>12ASB25022464</t>
  </si>
  <si>
    <t xml:space="preserve">068052/TCF/11/2025 </t>
  </si>
  <si>
    <t>13ASB25016823</t>
  </si>
  <si>
    <t>13</t>
  </si>
  <si>
    <t>062315</t>
  </si>
  <si>
    <t>DK OTC</t>
  </si>
  <si>
    <t>NUR WAHYU LANJAR PRIHANTANTO</t>
  </si>
  <si>
    <t>18BSB25000214</t>
  </si>
  <si>
    <t>STOK DARI KP PUSAT</t>
  </si>
  <si>
    <t>18</t>
  </si>
  <si>
    <t>081492</t>
  </si>
  <si>
    <t>Hoslab</t>
  </si>
  <si>
    <t>EMAIL</t>
  </si>
  <si>
    <t>CRB</t>
  </si>
  <si>
    <t>CIREBON</t>
  </si>
  <si>
    <t>25ASB24015854</t>
  </si>
  <si>
    <t>924009708</t>
  </si>
  <si>
    <t>25</t>
  </si>
  <si>
    <t>076834</t>
  </si>
  <si>
    <t>DK MO+REG</t>
  </si>
  <si>
    <t>LINDA</t>
  </si>
  <si>
    <t>25ASB25014626</t>
  </si>
  <si>
    <t>4441543</t>
  </si>
  <si>
    <t>032779</t>
  </si>
  <si>
    <t>25ASB25016769</t>
  </si>
  <si>
    <t xml:space="preserve">061742/TCF/10/2025 </t>
  </si>
  <si>
    <t>050466</t>
  </si>
  <si>
    <t>DK PAR II</t>
  </si>
  <si>
    <t>SAMLAWI</t>
  </si>
  <si>
    <t>25ASB25017546</t>
  </si>
  <si>
    <t>091/DPL-GF/I/2025</t>
  </si>
  <si>
    <t>25ASB25017826</t>
  </si>
  <si>
    <t>1910020452</t>
  </si>
  <si>
    <t>071863</t>
  </si>
  <si>
    <t>25ASB25017911</t>
  </si>
  <si>
    <t>1910020454</t>
  </si>
  <si>
    <t>25ASB25017920</t>
  </si>
  <si>
    <t xml:space="preserve">0455/TCP/03/2025 </t>
  </si>
  <si>
    <t>062437</t>
  </si>
  <si>
    <t>DK PAR I</t>
  </si>
  <si>
    <t>CAHYADI HERLAMBANG</t>
  </si>
  <si>
    <t>25ASB25017934</t>
  </si>
  <si>
    <t xml:space="preserve">00299/AS/01/2025 </t>
  </si>
  <si>
    <t>057010</t>
  </si>
  <si>
    <t>25ASB25017970</t>
  </si>
  <si>
    <t xml:space="preserve">0731/TCP/07/2025, 00299/AS/01/2025 </t>
  </si>
  <si>
    <t>25ASB25017971</t>
  </si>
  <si>
    <t xml:space="preserve">00299/AS/01/2025, 00259/AS/01/2025 </t>
  </si>
  <si>
    <t>25ASB25017994</t>
  </si>
  <si>
    <t xml:space="preserve">00257/AS/01/2025, 00263/AS/01/2025 </t>
  </si>
  <si>
    <t>25ASB25017995</t>
  </si>
  <si>
    <t xml:space="preserve">0455/TCP/03/2025, 00132/AS/01/2025 </t>
  </si>
  <si>
    <t>25ASB25017996</t>
  </si>
  <si>
    <t xml:space="preserve">00257/AS/01/2025, 0455/TCP/03/2025 </t>
  </si>
  <si>
    <t>25ASB25018023</t>
  </si>
  <si>
    <t>1910020371</t>
  </si>
  <si>
    <t>25BSB25001513</t>
  </si>
  <si>
    <t>4200977830</t>
  </si>
  <si>
    <t>OFF</t>
  </si>
  <si>
    <t>SIGIT BAYU HERNAWAN</t>
  </si>
  <si>
    <t>25ASB25018077</t>
  </si>
  <si>
    <t xml:space="preserve">21422/AS/11/2025/T </t>
  </si>
  <si>
    <t>25ASB25018110</t>
  </si>
  <si>
    <t>25ASB25018190</t>
  </si>
  <si>
    <t xml:space="preserve">00263/AS/01/2025 </t>
  </si>
  <si>
    <t>25ASB25018235</t>
  </si>
  <si>
    <t xml:space="preserve">0455/TCP/03/2025, 00257/AS/01/2025 </t>
  </si>
  <si>
    <t>25ASB25018247</t>
  </si>
  <si>
    <t>25ASB25018254</t>
  </si>
  <si>
    <t>RVS X FKT:17779</t>
  </si>
  <si>
    <t>26ASB24021414</t>
  </si>
  <si>
    <t>REV SLH OUTLT, EX 24020199 ,PO 924014157</t>
  </si>
  <si>
    <t>26</t>
  </si>
  <si>
    <t>057593</t>
  </si>
  <si>
    <t>26ASB24022295</t>
  </si>
  <si>
    <t>PO 924013895</t>
  </si>
  <si>
    <t>063690</t>
  </si>
  <si>
    <t>26ASB25020250</t>
  </si>
  <si>
    <t>PO 5136010</t>
  </si>
  <si>
    <t>065376</t>
  </si>
  <si>
    <t>26ASB25020251</t>
  </si>
  <si>
    <t>PO 5136014</t>
  </si>
  <si>
    <t>052942</t>
  </si>
  <si>
    <t>26ASB25021228</t>
  </si>
  <si>
    <t>5153770</t>
  </si>
  <si>
    <t>058075</t>
  </si>
  <si>
    <t>27ASB25014375</t>
  </si>
  <si>
    <t xml:space="preserve">5113276 </t>
  </si>
  <si>
    <t>27</t>
  </si>
  <si>
    <t>069807</t>
  </si>
  <si>
    <t>VACANT</t>
  </si>
  <si>
    <t>27ASB25015642</t>
  </si>
  <si>
    <t xml:space="preserve">4423714 </t>
  </si>
  <si>
    <t>056867</t>
  </si>
  <si>
    <t>27ASB25017192</t>
  </si>
  <si>
    <t xml:space="preserve">PL.25.031275 </t>
  </si>
  <si>
    <t>041094</t>
  </si>
  <si>
    <t>27ASB25019812</t>
  </si>
  <si>
    <t>5283075</t>
  </si>
  <si>
    <t>069612</t>
  </si>
  <si>
    <t>27ASB25019936</t>
  </si>
  <si>
    <t xml:space="preserve">0114/TCP/01/2025 </t>
  </si>
  <si>
    <t>072021</t>
  </si>
  <si>
    <t>HUZAIRI</t>
  </si>
  <si>
    <t>27ASB25019937</t>
  </si>
  <si>
    <t xml:space="preserve">00305/AS/01/2025 </t>
  </si>
  <si>
    <t>27ASB25019949</t>
  </si>
  <si>
    <t xml:space="preserve">00303/AS/01/2025 </t>
  </si>
  <si>
    <t>064539</t>
  </si>
  <si>
    <t>DISTA AFFAN</t>
  </si>
  <si>
    <t>27ASB25019950</t>
  </si>
  <si>
    <t xml:space="preserve">00249/AS/01/2025 </t>
  </si>
  <si>
    <t>27ASB25019951</t>
  </si>
  <si>
    <t xml:space="preserve">00572/AS/02/2025 </t>
  </si>
  <si>
    <t>27ASB25019952</t>
  </si>
  <si>
    <t xml:space="preserve">01074/AS/02/2025 </t>
  </si>
  <si>
    <t>27ASB25019953</t>
  </si>
  <si>
    <t>27ASB25019954</t>
  </si>
  <si>
    <t>27ASB25019955</t>
  </si>
  <si>
    <t>27ASB25020020</t>
  </si>
  <si>
    <t xml:space="preserve">0438/TCP/03/2025 </t>
  </si>
  <si>
    <t>27ASB25020038</t>
  </si>
  <si>
    <t>077004</t>
  </si>
  <si>
    <t>DK IV RTL</t>
  </si>
  <si>
    <t>SUTARNO</t>
  </si>
  <si>
    <t>27ASB25020081</t>
  </si>
  <si>
    <t xml:space="preserve">5283086 </t>
  </si>
  <si>
    <t>068740</t>
  </si>
  <si>
    <t>27ASB25020087</t>
  </si>
  <si>
    <t xml:space="preserve">5283082 </t>
  </si>
  <si>
    <t>027787</t>
  </si>
  <si>
    <t>27ASB25020089</t>
  </si>
  <si>
    <t xml:space="preserve">5283084 </t>
  </si>
  <si>
    <t>051720</t>
  </si>
  <si>
    <t>27ASB25020092</t>
  </si>
  <si>
    <t xml:space="preserve">PO.25.079586 </t>
  </si>
  <si>
    <t>034745</t>
  </si>
  <si>
    <t>27ASB25020095</t>
  </si>
  <si>
    <t xml:space="preserve">PL.25.047547 </t>
  </si>
  <si>
    <t>077023</t>
  </si>
  <si>
    <t>27ASB25020128</t>
  </si>
  <si>
    <t>27ASB25020129</t>
  </si>
  <si>
    <t>27ASB25020143</t>
  </si>
  <si>
    <t xml:space="preserve">PL.25.046804 </t>
  </si>
  <si>
    <t>27ASB25020179</t>
  </si>
  <si>
    <t xml:space="preserve">5291269 </t>
  </si>
  <si>
    <t>27ASB25020216</t>
  </si>
  <si>
    <t>27ASB25020217</t>
  </si>
  <si>
    <t xml:space="preserve">02858/AS/05/2025 </t>
  </si>
  <si>
    <t>27ASB25020218</t>
  </si>
  <si>
    <t>27ASB25020219</t>
  </si>
  <si>
    <t>27ASB25020220</t>
  </si>
  <si>
    <t>27ASB25020221</t>
  </si>
  <si>
    <t>4200981591</t>
  </si>
  <si>
    <t>27ASB25020222</t>
  </si>
  <si>
    <t>27BSB25000643</t>
  </si>
  <si>
    <t xml:space="preserve">4200981477 </t>
  </si>
  <si>
    <t>OFF HOSLAB</t>
  </si>
  <si>
    <t>OFFICE HOSLAB</t>
  </si>
  <si>
    <t>27ASB25020253</t>
  </si>
  <si>
    <t>27ASB25020265</t>
  </si>
  <si>
    <t>059439</t>
  </si>
  <si>
    <t>DK II RTL</t>
  </si>
  <si>
    <t>KAMALUDIN</t>
  </si>
  <si>
    <t>27ASB25020284</t>
  </si>
  <si>
    <t>5291278</t>
  </si>
  <si>
    <t>064418</t>
  </si>
  <si>
    <t>27ASB25020285</t>
  </si>
  <si>
    <t xml:space="preserve">5291277 </t>
  </si>
  <si>
    <t>063322</t>
  </si>
  <si>
    <t>27ASB25020299</t>
  </si>
  <si>
    <t>11223825-2000012</t>
  </si>
  <si>
    <t>062706</t>
  </si>
  <si>
    <t>27ASB25020314</t>
  </si>
  <si>
    <t>27ASB25020316</t>
  </si>
  <si>
    <t xml:space="preserve">5297792 </t>
  </si>
  <si>
    <t>27ASB25020419</t>
  </si>
  <si>
    <t xml:space="preserve">INHELATH </t>
  </si>
  <si>
    <t>27ASB25020428</t>
  </si>
  <si>
    <t>27ASB25020451</t>
  </si>
  <si>
    <t>27ASB25020452</t>
  </si>
  <si>
    <t>27ASB25020453</t>
  </si>
  <si>
    <t>27ASB25020454</t>
  </si>
  <si>
    <t xml:space="preserve">00249/AS/01/2025  </t>
  </si>
  <si>
    <t>27ASB25020455</t>
  </si>
  <si>
    <t>27BSB25000650</t>
  </si>
  <si>
    <t>4200984545</t>
  </si>
  <si>
    <t>27ASB25020635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</si>
</sst>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4" x14ac:knownFonts="1">
    <font>
      <sz val="10"/>
      <color rgb="FF000000"/>
      <name val="Arial"/>
      <scheme val="minor"/>
    </font>
    <font>
      <b/>
      <sz val="10"/>
      <color theme="1"/>
      <name val="Arial"/>
    </font>
    <font>
      <b/>
      <sz val="10"/>
      <color theme="1"/>
      <name val="Arial"/>
      <scheme val="minor"/>
    </font>
    <font>
      <i/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2" borderId="0" xfId="0" applyFont="1" applyFill="1" applyAlignment="1"/>
    <xf numFmtId="0" fontId="1" fillId="0" borderId="0" xfId="0" applyFont="1" applyAlignment="1"/>
    <xf numFmtId="0" fontId="1" fillId="0" borderId="0" xfId="0" applyFont="1"/>
    <xf numFmtId="0" fontId="2" fillId="0" borderId="0" xfId="0" applyFont="1" applyAlignment="1"/>
    <xf numFmtId="0" fontId="3" fillId="0" borderId="0" xfId="0" applyFont="1" applyAlignment="1"/>
    <xf numFmtId="0" fontId="3" fillId="0" borderId="0" xfId="0" applyFont="1"/>
    <xf numFmtId="164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4_MISSING_INVOICE.xml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</sheetNames>
    <sheetDataSet>
      <sheetData sheetId="0"/>
      <sheetData sheetId="1">
        <row r="2">
          <cell r="B2" t="str">
            <v>25ASB24015854</v>
          </cell>
          <cell r="C2" t="str">
            <v>2826ACH25000015</v>
          </cell>
          <cell r="D2" t="str">
            <v>26</v>
          </cell>
        </row>
        <row r="3">
          <cell r="B3" t="str">
            <v>25ASB25017920</v>
          </cell>
          <cell r="C3" t="str">
            <v>2526ACH25000108</v>
          </cell>
          <cell r="D3" t="str">
            <v>26</v>
          </cell>
        </row>
        <row r="4">
          <cell r="B4" t="str">
            <v>25ASB25017934</v>
          </cell>
          <cell r="C4" t="str">
            <v>2526ACH25000107</v>
          </cell>
          <cell r="D4" t="str">
            <v>26</v>
          </cell>
        </row>
        <row r="5">
          <cell r="B5" t="str">
            <v>25ASB25017970</v>
          </cell>
          <cell r="C5" t="str">
            <v>2526ACH25000107</v>
          </cell>
          <cell r="D5" t="str">
            <v>26</v>
          </cell>
        </row>
        <row r="6">
          <cell r="B6" t="str">
            <v>25ASB25017971</v>
          </cell>
          <cell r="C6" t="str">
            <v>2526ACH25000107</v>
          </cell>
          <cell r="D6" t="str">
            <v>26</v>
          </cell>
        </row>
        <row r="7">
          <cell r="B7" t="str">
            <v>25ASB25017994</v>
          </cell>
          <cell r="C7" t="str">
            <v>2526ACH25000108</v>
          </cell>
          <cell r="D7" t="str">
            <v>26</v>
          </cell>
        </row>
        <row r="8">
          <cell r="B8" t="str">
            <v>25ASB25017995</v>
          </cell>
          <cell r="C8" t="str">
            <v>2526ACH25000108</v>
          </cell>
          <cell r="D8" t="str">
            <v>26</v>
          </cell>
        </row>
        <row r="9">
          <cell r="B9" t="str">
            <v>25ASB25017996</v>
          </cell>
          <cell r="C9" t="str">
            <v>2526ACH25000108</v>
          </cell>
          <cell r="D9" t="str">
            <v>26</v>
          </cell>
        </row>
        <row r="10">
          <cell r="B10" t="str">
            <v>25ASB25018077</v>
          </cell>
          <cell r="C10" t="str">
            <v>2526ACH25000108</v>
          </cell>
          <cell r="D10" t="str">
            <v>26</v>
          </cell>
        </row>
        <row r="11">
          <cell r="B11" t="str">
            <v>25ASB25018110</v>
          </cell>
          <cell r="C11" t="str">
            <v>2526ACH25000107</v>
          </cell>
          <cell r="D11" t="str">
            <v>26</v>
          </cell>
        </row>
        <row r="12">
          <cell r="B12" t="str">
            <v>25ASB25018190</v>
          </cell>
          <cell r="C12" t="str">
            <v>2526ACH25000108</v>
          </cell>
          <cell r="D12" t="str">
            <v>26</v>
          </cell>
        </row>
        <row r="13">
          <cell r="B13" t="str">
            <v>25ASB25018235</v>
          </cell>
          <cell r="C13" t="str">
            <v>2526ACH25000108</v>
          </cell>
          <cell r="D13" t="str">
            <v>26</v>
          </cell>
        </row>
        <row r="14">
          <cell r="B14" t="str">
            <v>25ASB25018247</v>
          </cell>
          <cell r="C14" t="str">
            <v>2526ACH25000108</v>
          </cell>
          <cell r="D14" t="str">
            <v>26</v>
          </cell>
        </row>
        <row r="15">
          <cell r="B15" t="str">
            <v>25BSB25001513</v>
          </cell>
          <cell r="C15" t="str">
            <v>2526BCH25000039</v>
          </cell>
          <cell r="D15" t="str">
            <v>26</v>
          </cell>
        </row>
        <row r="16">
          <cell r="B16" t="str">
            <v>26ASB24021414</v>
          </cell>
          <cell r="C16" t="str">
            <v>2826ACH25000015</v>
          </cell>
          <cell r="D16" t="str">
            <v>26</v>
          </cell>
        </row>
        <row r="17">
          <cell r="B17" t="str">
            <v>26ASB24022295</v>
          </cell>
          <cell r="C17" t="str">
            <v>2826ACH25000015</v>
          </cell>
          <cell r="D17" t="str">
            <v>26</v>
          </cell>
        </row>
        <row r="18">
          <cell r="B18" t="str">
            <v>26ASB25020250</v>
          </cell>
          <cell r="C18" t="str">
            <v>2826ACH25000016</v>
          </cell>
          <cell r="D18" t="str">
            <v>26</v>
          </cell>
        </row>
        <row r="19">
          <cell r="B19" t="str">
            <v>26ASB25020251</v>
          </cell>
          <cell r="C19" t="str">
            <v>2826ACH25000016</v>
          </cell>
          <cell r="D19" t="str">
            <v>26</v>
          </cell>
        </row>
        <row r="20">
          <cell r="B20" t="str">
            <v>26ASB25021228</v>
          </cell>
          <cell r="C20" t="str">
            <v>2826ACH25000017</v>
          </cell>
          <cell r="D20" t="str">
            <v>26</v>
          </cell>
        </row>
        <row r="21">
          <cell r="B21" t="str">
            <v>27ASB25014375</v>
          </cell>
          <cell r="C21" t="str">
            <v>2826ACH25000016</v>
          </cell>
          <cell r="D21" t="str">
            <v>26</v>
          </cell>
        </row>
        <row r="22">
          <cell r="B22" t="str">
            <v>27ASB25019936</v>
          </cell>
          <cell r="C22" t="str">
            <v>2726ACH25000076</v>
          </cell>
          <cell r="D22" t="str">
            <v>26</v>
          </cell>
        </row>
        <row r="23">
          <cell r="B23" t="str">
            <v>27ASB25019937</v>
          </cell>
          <cell r="C23" t="str">
            <v>2726ACH25000076</v>
          </cell>
          <cell r="D23" t="str">
            <v>26</v>
          </cell>
        </row>
        <row r="24">
          <cell r="B24" t="str">
            <v>27ASB25019949</v>
          </cell>
          <cell r="C24" t="str">
            <v>2726ACH25000076</v>
          </cell>
          <cell r="D24" t="str">
            <v>26</v>
          </cell>
        </row>
        <row r="25">
          <cell r="B25" t="str">
            <v>27ASB25019950</v>
          </cell>
          <cell r="C25" t="str">
            <v>2726ACH25000076</v>
          </cell>
          <cell r="D25" t="str">
            <v>26</v>
          </cell>
        </row>
        <row r="26">
          <cell r="B26" t="str">
            <v>27ASB25019951</v>
          </cell>
          <cell r="C26" t="str">
            <v>2726ACH25000076</v>
          </cell>
          <cell r="D26" t="str">
            <v>26</v>
          </cell>
        </row>
        <row r="27">
          <cell r="B27" t="str">
            <v>27ASB25019952</v>
          </cell>
          <cell r="C27" t="str">
            <v>2726ACH25000076</v>
          </cell>
          <cell r="D27" t="str">
            <v>26</v>
          </cell>
        </row>
        <row r="28">
          <cell r="B28" t="str">
            <v>27ASB25019953</v>
          </cell>
          <cell r="C28" t="str">
            <v>2726ACH25000076</v>
          </cell>
          <cell r="D28" t="str">
            <v>26</v>
          </cell>
        </row>
        <row r="29">
          <cell r="B29" t="str">
            <v>27ASB25019954</v>
          </cell>
          <cell r="C29" t="str">
            <v>2726ACH25000076</v>
          </cell>
          <cell r="D29" t="str">
            <v>26</v>
          </cell>
        </row>
        <row r="30">
          <cell r="B30" t="str">
            <v>27ASB25019955</v>
          </cell>
          <cell r="C30" t="str">
            <v>2726ACH25000076</v>
          </cell>
          <cell r="D30" t="str">
            <v>26</v>
          </cell>
        </row>
        <row r="31">
          <cell r="B31" t="str">
            <v>27ASB25020020</v>
          </cell>
          <cell r="C31" t="str">
            <v>2726ACH25000076</v>
          </cell>
          <cell r="D31" t="str">
            <v>26</v>
          </cell>
        </row>
        <row r="32">
          <cell r="B32" t="str">
            <v>27ASB25020128</v>
          </cell>
          <cell r="C32" t="str">
            <v>2726ACH25000076</v>
          </cell>
          <cell r="D32" t="str">
            <v>26</v>
          </cell>
        </row>
        <row r="33">
          <cell r="B33" t="str">
            <v>27ASB25020129</v>
          </cell>
          <cell r="C33" t="str">
            <v>2726ACH25000076</v>
          </cell>
          <cell r="D33" t="str">
            <v>26</v>
          </cell>
        </row>
        <row r="34">
          <cell r="B34" t="str">
            <v>27ASB25020216</v>
          </cell>
          <cell r="C34" t="str">
            <v>2726ACH25000076</v>
          </cell>
          <cell r="D34" t="str">
            <v>26</v>
          </cell>
        </row>
        <row r="35">
          <cell r="B35" t="str">
            <v>27ASB25020217</v>
          </cell>
          <cell r="C35" t="str">
            <v>2726ACH25000076</v>
          </cell>
          <cell r="D35" t="str">
            <v>26</v>
          </cell>
        </row>
        <row r="36">
          <cell r="B36" t="str">
            <v>27ASB25020218</v>
          </cell>
          <cell r="C36" t="str">
            <v>2726ACH25000076</v>
          </cell>
          <cell r="D36" t="str">
            <v>26</v>
          </cell>
        </row>
        <row r="37">
          <cell r="B37" t="str">
            <v>27ASB25020219</v>
          </cell>
          <cell r="C37" t="str">
            <v>2726ACH25000076</v>
          </cell>
          <cell r="D37" t="str">
            <v>26</v>
          </cell>
        </row>
        <row r="38">
          <cell r="B38" t="str">
            <v>27ASB25020220</v>
          </cell>
          <cell r="C38" t="str">
            <v>2726ACH25000076</v>
          </cell>
          <cell r="D38" t="str">
            <v>26</v>
          </cell>
        </row>
        <row r="39">
          <cell r="B39" t="str">
            <v>27ASB25020221</v>
          </cell>
          <cell r="C39" t="str">
            <v>2726ACH25000076</v>
          </cell>
          <cell r="D39" t="str">
            <v>26</v>
          </cell>
        </row>
        <row r="40">
          <cell r="B40" t="str">
            <v>27ASB25020222</v>
          </cell>
          <cell r="C40" t="str">
            <v>2726ACH25000076</v>
          </cell>
          <cell r="D40" t="str">
            <v>26</v>
          </cell>
        </row>
        <row r="41">
          <cell r="B41" t="str">
            <v>27ASB25020253</v>
          </cell>
          <cell r="C41" t="str">
            <v>2726ACH25000076</v>
          </cell>
          <cell r="D41" t="str">
            <v>26</v>
          </cell>
        </row>
        <row r="42">
          <cell r="B42" t="str">
            <v>27ASB25020299</v>
          </cell>
          <cell r="C42" t="str">
            <v>2726ACH25000075</v>
          </cell>
          <cell r="D42" t="str">
            <v>26</v>
          </cell>
        </row>
        <row r="43">
          <cell r="B43" t="str">
            <v>27ASB25020314</v>
          </cell>
          <cell r="C43" t="str">
            <v>2726ACH25000076</v>
          </cell>
          <cell r="D43" t="str">
            <v>26</v>
          </cell>
        </row>
        <row r="44">
          <cell r="B44" t="str">
            <v>27ASB25020419</v>
          </cell>
          <cell r="C44" t="str">
            <v>2726ACH25000076</v>
          </cell>
          <cell r="D44" t="str">
            <v>26</v>
          </cell>
        </row>
        <row r="45">
          <cell r="B45" t="str">
            <v>27ASB25020428</v>
          </cell>
          <cell r="C45" t="str">
            <v>2726ACH25000076</v>
          </cell>
          <cell r="D45" t="str">
            <v>26</v>
          </cell>
        </row>
        <row r="46">
          <cell r="B46" t="str">
            <v>27ASB25020451</v>
          </cell>
          <cell r="C46" t="str">
            <v>2726ACH25000076</v>
          </cell>
          <cell r="D46" t="str">
            <v>26</v>
          </cell>
        </row>
        <row r="47">
          <cell r="B47" t="str">
            <v>27ASB25020452</v>
          </cell>
          <cell r="C47" t="str">
            <v>2726ACH25000076</v>
          </cell>
          <cell r="D47" t="str">
            <v>26</v>
          </cell>
        </row>
        <row r="48">
          <cell r="B48" t="str">
            <v>27ASB25020453</v>
          </cell>
          <cell r="C48" t="str">
            <v>2726ACH25000076</v>
          </cell>
          <cell r="D48" t="str">
            <v>26</v>
          </cell>
        </row>
        <row r="49">
          <cell r="B49" t="str">
            <v>27ASB25020454</v>
          </cell>
          <cell r="C49" t="str">
            <v>2726ACH25000076</v>
          </cell>
          <cell r="D49" t="str">
            <v>26</v>
          </cell>
        </row>
        <row r="50">
          <cell r="B50" t="str">
            <v>27ASB25020455</v>
          </cell>
          <cell r="C50" t="str">
            <v>2726ACH25000076</v>
          </cell>
          <cell r="D50" t="str">
            <v>26</v>
          </cell>
        </row>
        <row r="51">
          <cell r="B51" t="str">
            <v>27BSB25000643</v>
          </cell>
          <cell r="C51" t="str">
            <v>2726BCH25000023</v>
          </cell>
          <cell r="D51" t="str">
            <v>26</v>
          </cell>
        </row>
        <row r="52">
          <cell r="B52" t="str">
            <v>27BSB25000650</v>
          </cell>
          <cell r="C52" t="str">
            <v>2726BCH25000023</v>
          </cell>
          <cell r="D52" t="str">
            <v>26</v>
          </cell>
        </row>
        <row r="53">
          <cell r="B53" t="str">
            <v>18BSB25000214</v>
          </cell>
          <cell r="C53" t="str">
            <v>1801BCH25000001</v>
          </cell>
          <cell r="D53" t="str">
            <v>01</v>
          </cell>
        </row>
        <row r="54">
          <cell r="B54" t="str">
            <v>07ASB24028161</v>
          </cell>
          <cell r="C54" t="str">
            <v>2807ACH25000091</v>
          </cell>
          <cell r="D54" t="str">
            <v>07</v>
          </cell>
        </row>
        <row r="55">
          <cell r="B55" t="str">
            <v>07ASB25034549</v>
          </cell>
          <cell r="C55" t="str">
            <v>2707ACH25000073</v>
          </cell>
          <cell r="D55" t="str">
            <v>07</v>
          </cell>
        </row>
        <row r="56">
          <cell r="B56" t="str">
            <v>07ASB25034824</v>
          </cell>
          <cell r="C56" t="str">
            <v>2707ACH25000073</v>
          </cell>
          <cell r="D56" t="str">
            <v>07</v>
          </cell>
        </row>
        <row r="57">
          <cell r="B57" t="str">
            <v>07ASB25034950</v>
          </cell>
          <cell r="C57" t="str">
            <v>2707ACH25000073</v>
          </cell>
          <cell r="D57" t="str">
            <v>07</v>
          </cell>
        </row>
        <row r="58">
          <cell r="B58" t="str">
            <v>07ASB25034968</v>
          </cell>
          <cell r="C58" t="str">
            <v>2707ACH25000073</v>
          </cell>
          <cell r="D58" t="str">
            <v>07</v>
          </cell>
        </row>
        <row r="59">
          <cell r="B59" t="str">
            <v>07ASB25035316</v>
          </cell>
          <cell r="C59" t="str">
            <v>2707ACH25000073</v>
          </cell>
          <cell r="D59" t="str">
            <v>07</v>
          </cell>
        </row>
        <row r="60">
          <cell r="B60" t="str">
            <v>25ASB25014626</v>
          </cell>
          <cell r="C60" t="str">
            <v>2807ACH25000092</v>
          </cell>
          <cell r="D60" t="str">
            <v>07</v>
          </cell>
        </row>
        <row r="61">
          <cell r="B61" t="str">
            <v>25ASB25017826</v>
          </cell>
          <cell r="C61" t="str">
            <v>2507ACH25000042</v>
          </cell>
          <cell r="D61" t="str">
            <v>07</v>
          </cell>
        </row>
        <row r="62">
          <cell r="B62" t="str">
            <v>25ASB25017911</v>
          </cell>
          <cell r="C62" t="str">
            <v>2507ACH25000042</v>
          </cell>
          <cell r="D62" t="str">
            <v>07</v>
          </cell>
        </row>
        <row r="63">
          <cell r="B63" t="str">
            <v>25ASB25018023</v>
          </cell>
          <cell r="C63" t="str">
            <v>2507ACH25000042</v>
          </cell>
          <cell r="D63" t="str">
            <v>07</v>
          </cell>
        </row>
        <row r="64">
          <cell r="B64" t="str">
            <v>25ASB25018254</v>
          </cell>
          <cell r="C64" t="str">
            <v>2507ACH25000042</v>
          </cell>
          <cell r="D64" t="str">
            <v>07</v>
          </cell>
        </row>
        <row r="65">
          <cell r="B65" t="str">
            <v>25ASG25000380</v>
          </cell>
          <cell r="C65" t="str">
            <v>2507ACH25000043</v>
          </cell>
          <cell r="D65" t="str">
            <v>07</v>
          </cell>
        </row>
        <row r="66">
          <cell r="B66" t="str">
            <v>25ASG25000417</v>
          </cell>
          <cell r="C66" t="str">
            <v>2507ACH25000043</v>
          </cell>
          <cell r="D66" t="str">
            <v>07</v>
          </cell>
        </row>
        <row r="67">
          <cell r="B67" t="str">
            <v>27ASB25015642</v>
          </cell>
          <cell r="C67" t="str">
            <v>2807ACH25000092</v>
          </cell>
          <cell r="D67" t="str">
            <v>07</v>
          </cell>
        </row>
        <row r="68">
          <cell r="B68" t="str">
            <v>27ASB25017192</v>
          </cell>
          <cell r="C68" t="str">
            <v>2707ACH25000071</v>
          </cell>
          <cell r="D68" t="str">
            <v>07</v>
          </cell>
        </row>
        <row r="69">
          <cell r="B69" t="str">
            <v>27ASB25020038</v>
          </cell>
          <cell r="C69" t="str">
            <v>2707ACH25000072</v>
          </cell>
          <cell r="D69" t="str">
            <v>07</v>
          </cell>
        </row>
        <row r="70">
          <cell r="B70" t="str">
            <v>07ASB25035953</v>
          </cell>
          <cell r="C70" t="str">
            <v>0700ACH25000059</v>
          </cell>
          <cell r="D70" t="str">
            <v>00</v>
          </cell>
        </row>
        <row r="71">
          <cell r="B71" t="str">
            <v>13ASB25016823</v>
          </cell>
          <cell r="C71" t="str">
            <v>1328ACH25000007</v>
          </cell>
          <cell r="D71" t="str">
            <v>28</v>
          </cell>
        </row>
        <row r="72">
          <cell r="B72" t="str">
            <v>27ASB25019812</v>
          </cell>
          <cell r="C72" t="str">
            <v>2728ACH25000050</v>
          </cell>
          <cell r="D72" t="str">
            <v>28</v>
          </cell>
        </row>
        <row r="73">
          <cell r="B73" t="str">
            <v>27ASB25020081</v>
          </cell>
          <cell r="C73" t="str">
            <v>2728ACH25000050</v>
          </cell>
          <cell r="D73" t="str">
            <v>28</v>
          </cell>
        </row>
        <row r="74">
          <cell r="B74" t="str">
            <v>27ASB25020087</v>
          </cell>
          <cell r="C74" t="str">
            <v>2728ACH25000050</v>
          </cell>
          <cell r="D74" t="str">
            <v>28</v>
          </cell>
        </row>
        <row r="75">
          <cell r="B75" t="str">
            <v>27ASB25020089</v>
          </cell>
          <cell r="C75" t="str">
            <v>2728ACH25000050</v>
          </cell>
          <cell r="D75" t="str">
            <v>28</v>
          </cell>
        </row>
        <row r="76">
          <cell r="B76" t="str">
            <v>27ASB25020092</v>
          </cell>
          <cell r="C76" t="str">
            <v>2728ACH25000050</v>
          </cell>
          <cell r="D76" t="str">
            <v>28</v>
          </cell>
        </row>
        <row r="77">
          <cell r="B77" t="str">
            <v>27ASB25020095</v>
          </cell>
          <cell r="C77" t="str">
            <v>2728ACH25000050</v>
          </cell>
          <cell r="D77" t="str">
            <v>28</v>
          </cell>
        </row>
        <row r="78">
          <cell r="B78" t="str">
            <v>27ASB25020143</v>
          </cell>
          <cell r="C78" t="str">
            <v>2728ACH25000050</v>
          </cell>
          <cell r="D78" t="str">
            <v>28</v>
          </cell>
        </row>
        <row r="79">
          <cell r="B79" t="str">
            <v>27ASB25020179</v>
          </cell>
          <cell r="C79" t="str">
            <v>2728ACH25000050</v>
          </cell>
          <cell r="D79" t="str">
            <v>28</v>
          </cell>
        </row>
        <row r="80">
          <cell r="B80" t="str">
            <v>27ASB25020284</v>
          </cell>
          <cell r="C80" t="str">
            <v>2728ACH25000050</v>
          </cell>
          <cell r="D80" t="str">
            <v>28</v>
          </cell>
        </row>
        <row r="81">
          <cell r="B81" t="str">
            <v>27ASB25020285</v>
          </cell>
          <cell r="C81" t="str">
            <v>2728ACH25000050</v>
          </cell>
          <cell r="D81" t="str">
            <v>28</v>
          </cell>
        </row>
        <row r="82">
          <cell r="B82" t="str">
            <v>27ASB25020316</v>
          </cell>
          <cell r="C82" t="str">
            <v>2728ACH25000050</v>
          </cell>
          <cell r="D82" t="str">
            <v>28</v>
          </cell>
        </row>
        <row r="83">
          <cell r="B83" t="str">
            <v>25ASB25016769</v>
          </cell>
          <cell r="C83" t="str">
            <v>2725ACH25000054</v>
          </cell>
          <cell r="D83" t="str">
            <v>25</v>
          </cell>
        </row>
        <row r="84">
          <cell r="B84" t="str">
            <v>25ASB25017546</v>
          </cell>
          <cell r="C84" t="str">
            <v>2725ACH25000054</v>
          </cell>
          <cell r="D84" t="str">
            <v>25</v>
          </cell>
        </row>
        <row r="85">
          <cell r="B85" t="str">
            <v>27ASB25020265</v>
          </cell>
          <cell r="C85" t="str">
            <v>2725ACH25000053</v>
          </cell>
          <cell r="D85" t="str">
            <v>25</v>
          </cell>
        </row>
        <row r="86">
          <cell r="B86" t="str">
            <v>27ASB25020635</v>
          </cell>
          <cell r="C86" t="str">
            <v>2725ACH25000055</v>
          </cell>
          <cell r="D86" t="str">
            <v>25</v>
          </cell>
        </row>
        <row r="87">
          <cell r="B87" t="str">
            <v>12ASB25021890</v>
          </cell>
          <cell r="C87" t="str">
            <v>1213ACH25000016</v>
          </cell>
          <cell r="D87" t="str">
            <v>13</v>
          </cell>
        </row>
        <row r="88">
          <cell r="B88" t="str">
            <v>12ASB25022059</v>
          </cell>
          <cell r="C88" t="str">
            <v>1213ACH25000016</v>
          </cell>
          <cell r="D88" t="str">
            <v>13</v>
          </cell>
        </row>
        <row r="89">
          <cell r="B89" t="str">
            <v>12ASB25022087</v>
          </cell>
          <cell r="C89" t="str">
            <v>1213ACH25000016</v>
          </cell>
          <cell r="D89" t="str">
            <v>13</v>
          </cell>
        </row>
        <row r="90">
          <cell r="B90" t="str">
            <v>12ASB25022431</v>
          </cell>
          <cell r="C90" t="str">
            <v>1213ACH25000016</v>
          </cell>
          <cell r="D90" t="str">
            <v>13</v>
          </cell>
        </row>
        <row r="91">
          <cell r="B91" t="str">
            <v>12ASB25022464</v>
          </cell>
          <cell r="C91" t="str">
            <v>1213ACH25000016</v>
          </cell>
          <cell r="D91" t="str">
            <v>13</v>
          </cell>
        </row>
      </sheetData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1000"/>
  <sheetViews>
    <sheetView tabSelected="1" workbookViewId="0">
      <selection activeCell="I15" sqref="I15"/>
    </sheetView>
  </sheetViews>
  <sheetFormatPr defaultColWidth="12.5703125" defaultRowHeight="15" customHeight="1" x14ac:dyDescent="0.2"/>
  <cols>
    <col min="1" max="6" width="12.5703125" customWidth="1"/>
    <col min="9" max="9" width="16.85546875" customWidth="1"/>
    <col min="11" max="11" width="17.28515625" customWidth="1"/>
    <col min="16" max="16" width="25.7109375" customWidth="1"/>
    <col min="17" max="17" width="34.7109375" customWidth="1"/>
    <col min="18" max="18" width="20.7109375" customWidth="1"/>
  </cols>
  <sheetData>
    <row r="1" spans="1:18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3" t="s">
        <v>16</v>
      </c>
      <c r="R1" s="4" t="s">
        <v>17</v>
      </c>
    </row>
    <row r="2" spans="1:18" ht="15.75" customHeight="1" x14ac:dyDescent="0.2">
      <c r="A2" s="5" t="s">
        <v>18</v>
      </c>
      <c r="B2" s="5" t="s">
        <v>19</v>
      </c>
      <c r="C2" s="5" t="s">
        <v>19</v>
      </c>
      <c r="D2" s="5" t="s">
        <v>19</v>
      </c>
      <c r="E2" s="5" t="s">
        <v>19</v>
      </c>
      <c r="F2" s="5" t="s">
        <v>19</v>
      </c>
      <c r="G2" s="5" t="s">
        <v>19</v>
      </c>
      <c r="H2" s="5" t="s">
        <v>20</v>
      </c>
      <c r="I2" s="5" t="s">
        <v>21</v>
      </c>
      <c r="J2" s="5" t="s">
        <v>19</v>
      </c>
      <c r="K2" s="5" t="s">
        <v>19</v>
      </c>
      <c r="L2" s="5" t="s">
        <v>22</v>
      </c>
      <c r="M2" s="5" t="s">
        <v>23</v>
      </c>
      <c r="N2" s="5" t="s">
        <v>23</v>
      </c>
      <c r="O2" s="5" t="s">
        <v>23</v>
      </c>
      <c r="P2" s="5" t="s">
        <v>24</v>
      </c>
      <c r="Q2" s="6" t="s">
        <v>25</v>
      </c>
      <c r="R2" s="5" t="s">
        <v>19</v>
      </c>
    </row>
    <row r="3" spans="1:18" ht="15.75" customHeight="1" x14ac:dyDescent="0.2"/>
    <row r="4" spans="1:18" ht="15.75" customHeight="1" x14ac:dyDescent="0.2">
      <c r="A4" s="7">
        <v>45530</v>
      </c>
      <c r="B4" s="8" t="s">
        <v>26</v>
      </c>
      <c r="C4" s="8" t="s">
        <v>27</v>
      </c>
      <c r="D4" s="8" t="s">
        <v>28</v>
      </c>
      <c r="E4" s="8" t="s">
        <v>29</v>
      </c>
      <c r="F4" s="8" t="s">
        <v>30</v>
      </c>
      <c r="G4" s="8" t="s">
        <v>31</v>
      </c>
      <c r="H4" s="8" t="s">
        <v>32</v>
      </c>
      <c r="I4" s="8" t="s">
        <v>33</v>
      </c>
      <c r="J4" s="8" t="s">
        <v>34</v>
      </c>
      <c r="K4" s="8" t="s">
        <v>35</v>
      </c>
      <c r="L4" s="8" t="s">
        <v>31</v>
      </c>
      <c r="M4" s="8">
        <v>1818653</v>
      </c>
      <c r="N4" s="8">
        <v>180226</v>
      </c>
      <c r="O4" s="8">
        <v>0</v>
      </c>
      <c r="P4" s="8" t="s">
        <v>36</v>
      </c>
      <c r="Q4" s="8" t="s">
        <v>27</v>
      </c>
      <c r="R4" s="8" t="str">
        <f>VLOOKUP(B4,[1]Sheet2!$B$2:$D$91,3,FALSE)</f>
        <v>07</v>
      </c>
    </row>
    <row r="5" spans="1:18" ht="15.75" customHeight="1" x14ac:dyDescent="0.2">
      <c r="A5" s="7">
        <v>45958</v>
      </c>
      <c r="B5" s="8" t="s">
        <v>37</v>
      </c>
      <c r="C5" s="8" t="s">
        <v>27</v>
      </c>
      <c r="D5" s="8" t="s">
        <v>28</v>
      </c>
      <c r="E5" s="8" t="s">
        <v>38</v>
      </c>
      <c r="F5" s="8" t="s">
        <v>30</v>
      </c>
      <c r="G5" s="8" t="s">
        <v>31</v>
      </c>
      <c r="H5" s="8" t="s">
        <v>32</v>
      </c>
      <c r="I5" s="8" t="s">
        <v>39</v>
      </c>
      <c r="J5" s="8" t="s">
        <v>40</v>
      </c>
      <c r="K5" s="8" t="s">
        <v>41</v>
      </c>
      <c r="L5" s="8" t="s">
        <v>31</v>
      </c>
      <c r="M5" s="8">
        <v>2316718</v>
      </c>
      <c r="N5" s="8">
        <v>229584</v>
      </c>
      <c r="O5" s="8">
        <v>0</v>
      </c>
      <c r="P5" s="8" t="s">
        <v>36</v>
      </c>
      <c r="Q5" s="8" t="s">
        <v>27</v>
      </c>
      <c r="R5" s="8" t="str">
        <f>VLOOKUP(B5,[1]Sheet2!$B$2:$D$91,3,FALSE)</f>
        <v>07</v>
      </c>
    </row>
    <row r="6" spans="1:18" ht="15.75" customHeight="1" x14ac:dyDescent="0.2">
      <c r="A6" s="7">
        <v>45960</v>
      </c>
      <c r="B6" s="8" t="s">
        <v>42</v>
      </c>
      <c r="C6" s="8" t="s">
        <v>27</v>
      </c>
      <c r="D6" s="8" t="s">
        <v>28</v>
      </c>
      <c r="E6" s="8" t="s">
        <v>38</v>
      </c>
      <c r="F6" s="8" t="s">
        <v>30</v>
      </c>
      <c r="G6" s="8" t="s">
        <v>31</v>
      </c>
      <c r="H6" s="8" t="s">
        <v>32</v>
      </c>
      <c r="I6" s="8" t="s">
        <v>39</v>
      </c>
      <c r="J6" s="8" t="s">
        <v>40</v>
      </c>
      <c r="K6" s="8" t="s">
        <v>41</v>
      </c>
      <c r="L6" s="8" t="s">
        <v>31</v>
      </c>
      <c r="M6" s="8">
        <v>3731814</v>
      </c>
      <c r="N6" s="8">
        <v>369819</v>
      </c>
      <c r="O6" s="8">
        <v>0</v>
      </c>
      <c r="P6" s="8" t="s">
        <v>36</v>
      </c>
      <c r="Q6" s="8" t="s">
        <v>27</v>
      </c>
      <c r="R6" s="8" t="str">
        <f>VLOOKUP(B6,[1]Sheet2!$B$2:$D$91,3,FALSE)</f>
        <v>07</v>
      </c>
    </row>
    <row r="7" spans="1:18" ht="15.75" customHeight="1" x14ac:dyDescent="0.2">
      <c r="A7" s="7">
        <v>45961</v>
      </c>
      <c r="B7" s="8" t="s">
        <v>43</v>
      </c>
      <c r="C7" s="8" t="s">
        <v>44</v>
      </c>
      <c r="D7" s="8" t="s">
        <v>28</v>
      </c>
      <c r="E7" s="8" t="s">
        <v>38</v>
      </c>
      <c r="F7" s="8" t="s">
        <v>30</v>
      </c>
      <c r="G7" s="8" t="s">
        <v>31</v>
      </c>
      <c r="H7" s="8" t="s">
        <v>32</v>
      </c>
      <c r="I7" s="8" t="s">
        <v>39</v>
      </c>
      <c r="J7" s="8" t="s">
        <v>40</v>
      </c>
      <c r="K7" s="8" t="s">
        <v>41</v>
      </c>
      <c r="L7" s="8" t="s">
        <v>31</v>
      </c>
      <c r="M7" s="8">
        <v>1751802</v>
      </c>
      <c r="N7" s="8">
        <v>173602</v>
      </c>
      <c r="O7" s="8">
        <v>0</v>
      </c>
      <c r="P7" s="8" t="s">
        <v>36</v>
      </c>
      <c r="Q7" s="8" t="s">
        <v>27</v>
      </c>
      <c r="R7" s="8" t="str">
        <f>VLOOKUP(B7,[1]Sheet2!$B$2:$D$91,3,FALSE)</f>
        <v>07</v>
      </c>
    </row>
    <row r="8" spans="1:18" ht="15.75" customHeight="1" x14ac:dyDescent="0.2">
      <c r="A8" s="7">
        <v>45961</v>
      </c>
      <c r="B8" s="8" t="s">
        <v>45</v>
      </c>
      <c r="C8" s="8" t="s">
        <v>46</v>
      </c>
      <c r="D8" s="8" t="s">
        <v>28</v>
      </c>
      <c r="E8" s="8" t="s">
        <v>38</v>
      </c>
      <c r="F8" s="8" t="s">
        <v>30</v>
      </c>
      <c r="G8" s="8" t="s">
        <v>31</v>
      </c>
      <c r="H8" s="8" t="s">
        <v>32</v>
      </c>
      <c r="I8" s="8" t="s">
        <v>39</v>
      </c>
      <c r="J8" s="8" t="s">
        <v>40</v>
      </c>
      <c r="K8" s="8" t="s">
        <v>41</v>
      </c>
      <c r="L8" s="8" t="s">
        <v>31</v>
      </c>
      <c r="M8" s="8">
        <v>1278720</v>
      </c>
      <c r="N8" s="8">
        <v>126720</v>
      </c>
      <c r="O8" s="8">
        <v>0</v>
      </c>
      <c r="P8" s="8" t="s">
        <v>36</v>
      </c>
      <c r="Q8" s="8" t="s">
        <v>27</v>
      </c>
      <c r="R8" s="8" t="str">
        <f>VLOOKUP(B8,[1]Sheet2!$B$2:$D$91,3,FALSE)</f>
        <v>07</v>
      </c>
    </row>
    <row r="9" spans="1:18" ht="15.75" customHeight="1" x14ac:dyDescent="0.2">
      <c r="A9" s="7">
        <v>45965</v>
      </c>
      <c r="B9" s="8" t="s">
        <v>47</v>
      </c>
      <c r="C9" s="8" t="s">
        <v>44</v>
      </c>
      <c r="D9" s="8" t="s">
        <v>28</v>
      </c>
      <c r="E9" s="8" t="s">
        <v>38</v>
      </c>
      <c r="F9" s="8" t="s">
        <v>30</v>
      </c>
      <c r="G9" s="8" t="s">
        <v>31</v>
      </c>
      <c r="H9" s="8" t="s">
        <v>32</v>
      </c>
      <c r="I9" s="8" t="s">
        <v>39</v>
      </c>
      <c r="J9" s="8" t="s">
        <v>40</v>
      </c>
      <c r="K9" s="8" t="s">
        <v>41</v>
      </c>
      <c r="L9" s="8" t="s">
        <v>31</v>
      </c>
      <c r="M9" s="8">
        <v>10516015</v>
      </c>
      <c r="N9" s="8">
        <v>1042127</v>
      </c>
      <c r="O9" s="8">
        <v>0</v>
      </c>
      <c r="P9" s="8" t="s">
        <v>36</v>
      </c>
      <c r="Q9" s="8" t="s">
        <v>27</v>
      </c>
      <c r="R9" s="8" t="str">
        <f>VLOOKUP(B9,[1]Sheet2!$B$2:$D$91,3,FALSE)</f>
        <v>07</v>
      </c>
    </row>
    <row r="10" spans="1:18" ht="15.75" customHeight="1" x14ac:dyDescent="0.2">
      <c r="A10" s="7">
        <v>45969</v>
      </c>
      <c r="B10" s="8" t="s">
        <v>48</v>
      </c>
      <c r="C10" s="8" t="s">
        <v>27</v>
      </c>
      <c r="D10" s="8" t="s">
        <v>28</v>
      </c>
      <c r="E10" s="8" t="s">
        <v>49</v>
      </c>
      <c r="F10" s="8" t="s">
        <v>30</v>
      </c>
      <c r="G10" s="8" t="s">
        <v>31</v>
      </c>
      <c r="H10" s="8" t="s">
        <v>50</v>
      </c>
      <c r="I10" s="8" t="s">
        <v>51</v>
      </c>
      <c r="J10" s="8" t="s">
        <v>52</v>
      </c>
      <c r="K10" s="8" t="s">
        <v>53</v>
      </c>
      <c r="L10" s="8" t="s">
        <v>31</v>
      </c>
      <c r="M10" s="8">
        <v>11788072</v>
      </c>
      <c r="N10" s="8">
        <v>1168187</v>
      </c>
      <c r="O10" s="8">
        <v>0.5</v>
      </c>
      <c r="P10" s="8" t="s">
        <v>36</v>
      </c>
      <c r="Q10" s="8" t="s">
        <v>27</v>
      </c>
      <c r="R10" s="8" t="str">
        <f>VLOOKUP(B10,[1]Sheet2!$B$2:$D$91,3,FALSE)</f>
        <v>00</v>
      </c>
    </row>
    <row r="11" spans="1:18" ht="15.75" customHeight="1" x14ac:dyDescent="0.2">
      <c r="A11" s="7">
        <v>45959</v>
      </c>
      <c r="B11" s="8" t="s">
        <v>54</v>
      </c>
      <c r="C11" s="8" t="s">
        <v>55</v>
      </c>
      <c r="D11" s="8" t="s">
        <v>56</v>
      </c>
      <c r="E11" s="8" t="s">
        <v>57</v>
      </c>
      <c r="F11" s="8" t="s">
        <v>30</v>
      </c>
      <c r="G11" s="8" t="s">
        <v>31</v>
      </c>
      <c r="H11" s="8" t="s">
        <v>32</v>
      </c>
      <c r="I11" s="8" t="s">
        <v>33</v>
      </c>
      <c r="J11" s="8" t="s">
        <v>58</v>
      </c>
      <c r="K11" s="8" t="s">
        <v>59</v>
      </c>
      <c r="L11" s="8" t="s">
        <v>31</v>
      </c>
      <c r="M11" s="8">
        <v>1348650</v>
      </c>
      <c r="N11" s="8">
        <v>133650</v>
      </c>
      <c r="O11" s="8">
        <v>0</v>
      </c>
      <c r="P11" s="8" t="s">
        <v>36</v>
      </c>
      <c r="Q11" s="8" t="s">
        <v>27</v>
      </c>
      <c r="R11" s="8" t="str">
        <f>VLOOKUP(B11,[1]Sheet2!$B$2:$D$91,3,FALSE)</f>
        <v>13</v>
      </c>
    </row>
    <row r="12" spans="1:18" ht="15.75" customHeight="1" x14ac:dyDescent="0.2">
      <c r="A12" s="7">
        <v>45960</v>
      </c>
      <c r="B12" s="8" t="s">
        <v>60</v>
      </c>
      <c r="C12" s="8" t="s">
        <v>27</v>
      </c>
      <c r="D12" s="8" t="s">
        <v>56</v>
      </c>
      <c r="E12" s="8" t="s">
        <v>57</v>
      </c>
      <c r="F12" s="8" t="s">
        <v>30</v>
      </c>
      <c r="G12" s="8" t="s">
        <v>31</v>
      </c>
      <c r="H12" s="8" t="s">
        <v>32</v>
      </c>
      <c r="I12" s="8" t="s">
        <v>33</v>
      </c>
      <c r="J12" s="8" t="s">
        <v>58</v>
      </c>
      <c r="K12" s="8" t="s">
        <v>59</v>
      </c>
      <c r="L12" s="8" t="s">
        <v>31</v>
      </c>
      <c r="M12" s="8">
        <v>333000</v>
      </c>
      <c r="N12" s="8">
        <v>33000</v>
      </c>
      <c r="O12" s="8">
        <v>0</v>
      </c>
      <c r="P12" s="8" t="s">
        <v>36</v>
      </c>
      <c r="Q12" s="8" t="s">
        <v>27</v>
      </c>
      <c r="R12" s="8" t="str">
        <f>VLOOKUP(B12,[1]Sheet2!$B$2:$D$91,3,FALSE)</f>
        <v>13</v>
      </c>
    </row>
    <row r="13" spans="1:18" ht="15.75" customHeight="1" x14ac:dyDescent="0.2">
      <c r="A13" s="7">
        <v>45961</v>
      </c>
      <c r="B13" s="8" t="s">
        <v>61</v>
      </c>
      <c r="C13" s="8" t="s">
        <v>62</v>
      </c>
      <c r="D13" s="8" t="s">
        <v>56</v>
      </c>
      <c r="E13" s="8" t="s">
        <v>57</v>
      </c>
      <c r="F13" s="8" t="s">
        <v>30</v>
      </c>
      <c r="G13" s="8" t="s">
        <v>31</v>
      </c>
      <c r="H13" s="8" t="s">
        <v>32</v>
      </c>
      <c r="I13" s="8" t="s">
        <v>33</v>
      </c>
      <c r="J13" s="8" t="s">
        <v>58</v>
      </c>
      <c r="K13" s="8" t="s">
        <v>59</v>
      </c>
      <c r="L13" s="8" t="s">
        <v>31</v>
      </c>
      <c r="M13" s="8">
        <v>700683</v>
      </c>
      <c r="N13" s="8">
        <v>69437</v>
      </c>
      <c r="O13" s="8">
        <v>0</v>
      </c>
      <c r="P13" s="8" t="s">
        <v>36</v>
      </c>
      <c r="Q13" s="8" t="s">
        <v>27</v>
      </c>
      <c r="R13" s="8" t="str">
        <f>VLOOKUP(B13,[1]Sheet2!$B$2:$D$91,3,FALSE)</f>
        <v>13</v>
      </c>
    </row>
    <row r="14" spans="1:18" ht="15.75" customHeight="1" x14ac:dyDescent="0.2">
      <c r="A14" s="7">
        <v>45965</v>
      </c>
      <c r="B14" s="8" t="s">
        <v>63</v>
      </c>
      <c r="C14" s="8" t="s">
        <v>27</v>
      </c>
      <c r="D14" s="8" t="s">
        <v>56</v>
      </c>
      <c r="E14" s="8" t="s">
        <v>57</v>
      </c>
      <c r="F14" s="8" t="s">
        <v>30</v>
      </c>
      <c r="G14" s="8" t="s">
        <v>31</v>
      </c>
      <c r="H14" s="8" t="s">
        <v>32</v>
      </c>
      <c r="I14" s="8" t="s">
        <v>33</v>
      </c>
      <c r="J14" s="8" t="s">
        <v>58</v>
      </c>
      <c r="K14" s="8" t="s">
        <v>59</v>
      </c>
      <c r="L14" s="8" t="s">
        <v>31</v>
      </c>
      <c r="M14" s="8">
        <v>368181</v>
      </c>
      <c r="N14" s="8">
        <v>36486</v>
      </c>
      <c r="O14" s="8">
        <v>0</v>
      </c>
      <c r="P14" s="8" t="s">
        <v>36</v>
      </c>
      <c r="Q14" s="8" t="s">
        <v>27</v>
      </c>
      <c r="R14" s="8" t="str">
        <f>VLOOKUP(B14,[1]Sheet2!$B$2:$D$91,3,FALSE)</f>
        <v>13</v>
      </c>
    </row>
    <row r="15" spans="1:18" ht="15.75" customHeight="1" x14ac:dyDescent="0.2">
      <c r="A15" s="7">
        <v>45966</v>
      </c>
      <c r="B15" s="8" t="s">
        <v>64</v>
      </c>
      <c r="C15" s="8" t="s">
        <v>65</v>
      </c>
      <c r="D15" s="8" t="s">
        <v>56</v>
      </c>
      <c r="E15" s="8" t="s">
        <v>57</v>
      </c>
      <c r="F15" s="8" t="s">
        <v>30</v>
      </c>
      <c r="G15" s="8" t="s">
        <v>31</v>
      </c>
      <c r="H15" s="8" t="s">
        <v>32</v>
      </c>
      <c r="I15" s="8" t="s">
        <v>33</v>
      </c>
      <c r="J15" s="8" t="s">
        <v>58</v>
      </c>
      <c r="K15" s="8" t="s">
        <v>59</v>
      </c>
      <c r="L15" s="8" t="s">
        <v>31</v>
      </c>
      <c r="M15" s="8">
        <v>183072</v>
      </c>
      <c r="N15" s="8">
        <v>18142</v>
      </c>
      <c r="O15" s="8">
        <v>0</v>
      </c>
      <c r="P15" s="8" t="s">
        <v>36</v>
      </c>
      <c r="Q15" s="8" t="s">
        <v>27</v>
      </c>
      <c r="R15" s="8" t="str">
        <f>VLOOKUP(B15,[1]Sheet2!$B$2:$D$91,3,FALSE)</f>
        <v>13</v>
      </c>
    </row>
    <row r="16" spans="1:18" ht="15.75" customHeight="1" x14ac:dyDescent="0.2">
      <c r="A16" s="7">
        <v>45943</v>
      </c>
      <c r="B16" s="8" t="s">
        <v>66</v>
      </c>
      <c r="C16" s="8" t="s">
        <v>27</v>
      </c>
      <c r="D16" s="8" t="s">
        <v>67</v>
      </c>
      <c r="E16" s="8" t="s">
        <v>68</v>
      </c>
      <c r="F16" s="8" t="s">
        <v>30</v>
      </c>
      <c r="G16" s="8" t="s">
        <v>31</v>
      </c>
      <c r="H16" s="8" t="s">
        <v>32</v>
      </c>
      <c r="I16" s="8" t="s">
        <v>33</v>
      </c>
      <c r="J16" s="8" t="s">
        <v>69</v>
      </c>
      <c r="K16" s="8" t="s">
        <v>70</v>
      </c>
      <c r="L16" s="8" t="s">
        <v>31</v>
      </c>
      <c r="M16" s="8">
        <v>380512</v>
      </c>
      <c r="N16" s="8">
        <v>37708</v>
      </c>
      <c r="O16" s="8">
        <v>0</v>
      </c>
      <c r="P16" s="8" t="s">
        <v>36</v>
      </c>
      <c r="Q16" s="8" t="s">
        <v>27</v>
      </c>
      <c r="R16" s="8" t="str">
        <f>VLOOKUP(B16,[1]Sheet2!$B$2:$D$91,3,FALSE)</f>
        <v>28</v>
      </c>
    </row>
    <row r="17" spans="1:18" ht="15.75" customHeight="1" x14ac:dyDescent="0.2">
      <c r="A17" s="7">
        <v>45975</v>
      </c>
      <c r="B17" s="8" t="s">
        <v>71</v>
      </c>
      <c r="C17" s="8" t="s">
        <v>72</v>
      </c>
      <c r="D17" s="8" t="s">
        <v>73</v>
      </c>
      <c r="E17" s="8" t="s">
        <v>74</v>
      </c>
      <c r="F17" s="8" t="s">
        <v>75</v>
      </c>
      <c r="G17" s="8" t="s">
        <v>31</v>
      </c>
      <c r="H17" s="8" t="s">
        <v>32</v>
      </c>
      <c r="I17" s="8" t="s">
        <v>76</v>
      </c>
      <c r="J17" s="8" t="s">
        <v>77</v>
      </c>
      <c r="K17" s="8" t="s">
        <v>78</v>
      </c>
      <c r="L17" s="8" t="s">
        <v>31</v>
      </c>
      <c r="M17" s="8">
        <v>1887000</v>
      </c>
      <c r="N17" s="8">
        <v>187000</v>
      </c>
      <c r="O17" s="8">
        <v>0</v>
      </c>
      <c r="P17" s="8" t="s">
        <v>36</v>
      </c>
      <c r="Q17" s="8" t="s">
        <v>27</v>
      </c>
      <c r="R17" s="8" t="str">
        <f>VLOOKUP(B17,[1]Sheet2!$B$2:$D$91,3,FALSE)</f>
        <v>01</v>
      </c>
    </row>
    <row r="18" spans="1:18" ht="15.75" customHeight="1" x14ac:dyDescent="0.2">
      <c r="A18" s="7">
        <v>45575</v>
      </c>
      <c r="B18" s="8" t="s">
        <v>79</v>
      </c>
      <c r="C18" s="8" t="s">
        <v>80</v>
      </c>
      <c r="D18" s="8" t="s">
        <v>81</v>
      </c>
      <c r="E18" s="8" t="s">
        <v>82</v>
      </c>
      <c r="F18" s="8" t="s">
        <v>30</v>
      </c>
      <c r="G18" s="8" t="s">
        <v>31</v>
      </c>
      <c r="H18" s="8" t="s">
        <v>32</v>
      </c>
      <c r="I18" s="8" t="s">
        <v>33</v>
      </c>
      <c r="J18" s="8" t="s">
        <v>83</v>
      </c>
      <c r="K18" s="8" t="s">
        <v>84</v>
      </c>
      <c r="L18" s="8" t="s">
        <v>31</v>
      </c>
      <c r="M18" s="8">
        <v>1078388</v>
      </c>
      <c r="N18" s="8">
        <v>106867</v>
      </c>
      <c r="O18" s="8">
        <v>0</v>
      </c>
      <c r="P18" s="8" t="s">
        <v>36</v>
      </c>
      <c r="Q18" s="8" t="s">
        <v>27</v>
      </c>
      <c r="R18" s="8" t="str">
        <f>VLOOKUP(B18,[1]Sheet2!$B$2:$D$91,3,FALSE)</f>
        <v>26</v>
      </c>
    </row>
    <row r="19" spans="1:18" ht="15.75" customHeight="1" x14ac:dyDescent="0.2">
      <c r="A19" s="7">
        <v>45912</v>
      </c>
      <c r="B19" s="8" t="s">
        <v>85</v>
      </c>
      <c r="C19" s="8" t="s">
        <v>86</v>
      </c>
      <c r="D19" s="8" t="s">
        <v>81</v>
      </c>
      <c r="E19" s="8" t="s">
        <v>87</v>
      </c>
      <c r="F19" s="8" t="s">
        <v>30</v>
      </c>
      <c r="G19" s="8" t="s">
        <v>31</v>
      </c>
      <c r="H19" s="8" t="s">
        <v>32</v>
      </c>
      <c r="I19" s="8" t="s">
        <v>33</v>
      </c>
      <c r="J19" s="8" t="s">
        <v>83</v>
      </c>
      <c r="K19" s="8" t="s">
        <v>84</v>
      </c>
      <c r="L19" s="8" t="s">
        <v>31</v>
      </c>
      <c r="M19" s="8">
        <v>922211</v>
      </c>
      <c r="N19" s="8">
        <v>91390</v>
      </c>
      <c r="O19" s="8">
        <v>0</v>
      </c>
      <c r="P19" s="8" t="s">
        <v>36</v>
      </c>
      <c r="Q19" s="8" t="s">
        <v>27</v>
      </c>
      <c r="R19" s="8" t="str">
        <f>VLOOKUP(B19,[1]Sheet2!$B$2:$D$91,3,FALSE)</f>
        <v>07</v>
      </c>
    </row>
    <row r="20" spans="1:18" ht="15.75" customHeight="1" x14ac:dyDescent="0.2">
      <c r="A20" s="7">
        <v>45945</v>
      </c>
      <c r="B20" s="8" t="s">
        <v>88</v>
      </c>
      <c r="C20" s="8" t="s">
        <v>89</v>
      </c>
      <c r="D20" s="8" t="s">
        <v>81</v>
      </c>
      <c r="E20" s="8" t="s">
        <v>90</v>
      </c>
      <c r="F20" s="8" t="s">
        <v>30</v>
      </c>
      <c r="G20" s="8" t="s">
        <v>31</v>
      </c>
      <c r="H20" s="8" t="s">
        <v>32</v>
      </c>
      <c r="I20" s="8" t="s">
        <v>33</v>
      </c>
      <c r="J20" s="8" t="s">
        <v>91</v>
      </c>
      <c r="K20" s="8" t="s">
        <v>92</v>
      </c>
      <c r="L20" s="8" t="s">
        <v>31</v>
      </c>
      <c r="M20" s="8">
        <v>175000</v>
      </c>
      <c r="N20" s="8">
        <v>17342</v>
      </c>
      <c r="O20" s="8">
        <v>0</v>
      </c>
      <c r="P20" s="8" t="s">
        <v>36</v>
      </c>
      <c r="Q20" s="8" t="s">
        <v>27</v>
      </c>
      <c r="R20" s="8" t="str">
        <f>VLOOKUP(B20,[1]Sheet2!$B$2:$D$91,3,FALSE)</f>
        <v>25</v>
      </c>
    </row>
    <row r="21" spans="1:18" ht="15.75" customHeight="1" x14ac:dyDescent="0.2">
      <c r="A21" s="7">
        <v>45958</v>
      </c>
      <c r="B21" s="8" t="s">
        <v>93</v>
      </c>
      <c r="C21" s="8" t="s">
        <v>94</v>
      </c>
      <c r="D21" s="8" t="s">
        <v>81</v>
      </c>
      <c r="E21" s="8" t="s">
        <v>90</v>
      </c>
      <c r="F21" s="8" t="s">
        <v>30</v>
      </c>
      <c r="G21" s="8" t="s">
        <v>31</v>
      </c>
      <c r="H21" s="8" t="s">
        <v>32</v>
      </c>
      <c r="I21" s="8" t="s">
        <v>33</v>
      </c>
      <c r="J21" s="8" t="s">
        <v>91</v>
      </c>
      <c r="K21" s="8" t="s">
        <v>92</v>
      </c>
      <c r="L21" s="8" t="s">
        <v>31</v>
      </c>
      <c r="M21" s="8">
        <v>144550</v>
      </c>
      <c r="N21" s="8">
        <v>14324</v>
      </c>
      <c r="O21" s="8">
        <v>0</v>
      </c>
      <c r="P21" s="8" t="s">
        <v>36</v>
      </c>
      <c r="Q21" s="8" t="s">
        <v>27</v>
      </c>
      <c r="R21" s="8" t="str">
        <f>VLOOKUP(B21,[1]Sheet2!$B$2:$D$91,3,FALSE)</f>
        <v>25</v>
      </c>
    </row>
    <row r="22" spans="1:18" ht="15.75" customHeight="1" x14ac:dyDescent="0.2">
      <c r="A22" s="7">
        <v>45961</v>
      </c>
      <c r="B22" s="8" t="s">
        <v>95</v>
      </c>
      <c r="C22" s="8" t="s">
        <v>96</v>
      </c>
      <c r="D22" s="8" t="s">
        <v>81</v>
      </c>
      <c r="E22" s="8" t="s">
        <v>97</v>
      </c>
      <c r="F22" s="8" t="s">
        <v>30</v>
      </c>
      <c r="G22" s="8" t="s">
        <v>31</v>
      </c>
      <c r="H22" s="8" t="s">
        <v>32</v>
      </c>
      <c r="I22" s="8" t="s">
        <v>33</v>
      </c>
      <c r="J22" s="8" t="s">
        <v>83</v>
      </c>
      <c r="K22" s="8" t="s">
        <v>84</v>
      </c>
      <c r="L22" s="8" t="s">
        <v>31</v>
      </c>
      <c r="M22" s="8">
        <v>11982608</v>
      </c>
      <c r="N22" s="8">
        <v>1187465</v>
      </c>
      <c r="O22" s="8">
        <v>0</v>
      </c>
      <c r="P22" s="8" t="s">
        <v>36</v>
      </c>
      <c r="Q22" s="8" t="s">
        <v>27</v>
      </c>
      <c r="R22" s="8" t="str">
        <f>VLOOKUP(B22,[1]Sheet2!$B$2:$D$91,3,FALSE)</f>
        <v>07</v>
      </c>
    </row>
    <row r="23" spans="1:18" ht="15.75" customHeight="1" x14ac:dyDescent="0.2">
      <c r="A23" s="7">
        <v>45962</v>
      </c>
      <c r="B23" s="8" t="s">
        <v>98</v>
      </c>
      <c r="C23" s="8" t="s">
        <v>99</v>
      </c>
      <c r="D23" s="8" t="s">
        <v>81</v>
      </c>
      <c r="E23" s="8" t="s">
        <v>97</v>
      </c>
      <c r="F23" s="8" t="s">
        <v>30</v>
      </c>
      <c r="G23" s="8" t="s">
        <v>31</v>
      </c>
      <c r="H23" s="8" t="s">
        <v>32</v>
      </c>
      <c r="I23" s="8" t="s">
        <v>33</v>
      </c>
      <c r="J23" s="8" t="s">
        <v>83</v>
      </c>
      <c r="K23" s="8" t="s">
        <v>84</v>
      </c>
      <c r="L23" s="8" t="s">
        <v>31</v>
      </c>
      <c r="M23" s="8">
        <v>3007975</v>
      </c>
      <c r="N23" s="8">
        <v>298087</v>
      </c>
      <c r="O23" s="8">
        <v>0</v>
      </c>
      <c r="P23" s="8" t="s">
        <v>36</v>
      </c>
      <c r="Q23" s="8" t="s">
        <v>27</v>
      </c>
      <c r="R23" s="8" t="str">
        <f>VLOOKUP(B23,[1]Sheet2!$B$2:$D$91,3,FALSE)</f>
        <v>07</v>
      </c>
    </row>
    <row r="24" spans="1:18" ht="15.75" customHeight="1" x14ac:dyDescent="0.2">
      <c r="A24" s="7">
        <v>45964</v>
      </c>
      <c r="B24" s="8" t="s">
        <v>100</v>
      </c>
      <c r="C24" s="8" t="s">
        <v>101</v>
      </c>
      <c r="D24" s="8" t="s">
        <v>81</v>
      </c>
      <c r="E24" s="8" t="s">
        <v>102</v>
      </c>
      <c r="F24" s="8" t="s">
        <v>30</v>
      </c>
      <c r="G24" s="8" t="s">
        <v>31</v>
      </c>
      <c r="H24" s="8" t="s">
        <v>32</v>
      </c>
      <c r="I24" s="8" t="s">
        <v>33</v>
      </c>
      <c r="J24" s="8" t="s">
        <v>103</v>
      </c>
      <c r="K24" s="8" t="s">
        <v>104</v>
      </c>
      <c r="L24" s="8" t="s">
        <v>31</v>
      </c>
      <c r="M24" s="8">
        <v>126540</v>
      </c>
      <c r="N24" s="8">
        <v>12540</v>
      </c>
      <c r="O24" s="8">
        <v>0</v>
      </c>
      <c r="P24" s="8" t="s">
        <v>36</v>
      </c>
      <c r="Q24" s="8" t="s">
        <v>27</v>
      </c>
      <c r="R24" s="8" t="str">
        <f>VLOOKUP(B24,[1]Sheet2!$B$2:$D$91,3,FALSE)</f>
        <v>26</v>
      </c>
    </row>
    <row r="25" spans="1:18" ht="15.75" customHeight="1" x14ac:dyDescent="0.2">
      <c r="A25" s="7">
        <v>45964</v>
      </c>
      <c r="B25" s="8" t="s">
        <v>105</v>
      </c>
      <c r="C25" s="8" t="s">
        <v>106</v>
      </c>
      <c r="D25" s="8" t="s">
        <v>81</v>
      </c>
      <c r="E25" s="8" t="s">
        <v>107</v>
      </c>
      <c r="F25" s="8" t="s">
        <v>30</v>
      </c>
      <c r="G25" s="8" t="s">
        <v>31</v>
      </c>
      <c r="H25" s="8" t="s">
        <v>32</v>
      </c>
      <c r="I25" s="8" t="s">
        <v>33</v>
      </c>
      <c r="J25" s="8" t="s">
        <v>91</v>
      </c>
      <c r="K25" s="8" t="s">
        <v>92</v>
      </c>
      <c r="L25" s="8" t="s">
        <v>31</v>
      </c>
      <c r="M25" s="8">
        <v>685980</v>
      </c>
      <c r="N25" s="8">
        <v>67980</v>
      </c>
      <c r="O25" s="8">
        <v>0</v>
      </c>
      <c r="P25" s="8" t="s">
        <v>36</v>
      </c>
      <c r="Q25" s="8" t="s">
        <v>27</v>
      </c>
      <c r="R25" s="8" t="str">
        <f>VLOOKUP(B25,[1]Sheet2!$B$2:$D$91,3,FALSE)</f>
        <v>26</v>
      </c>
    </row>
    <row r="26" spans="1:18" ht="15.75" customHeight="1" x14ac:dyDescent="0.2">
      <c r="A26" s="7">
        <v>45964</v>
      </c>
      <c r="B26" s="8" t="s">
        <v>108</v>
      </c>
      <c r="C26" s="8" t="s">
        <v>109</v>
      </c>
      <c r="D26" s="8" t="s">
        <v>81</v>
      </c>
      <c r="E26" s="8" t="s">
        <v>107</v>
      </c>
      <c r="F26" s="8" t="s">
        <v>30</v>
      </c>
      <c r="G26" s="8" t="s">
        <v>31</v>
      </c>
      <c r="H26" s="8" t="s">
        <v>32</v>
      </c>
      <c r="I26" s="8" t="s">
        <v>33</v>
      </c>
      <c r="J26" s="8" t="s">
        <v>91</v>
      </c>
      <c r="K26" s="8" t="s">
        <v>92</v>
      </c>
      <c r="L26" s="8" t="s">
        <v>31</v>
      </c>
      <c r="M26" s="8">
        <v>947995</v>
      </c>
      <c r="N26" s="8">
        <v>93945</v>
      </c>
      <c r="O26" s="8">
        <v>0</v>
      </c>
      <c r="P26" s="8" t="s">
        <v>36</v>
      </c>
      <c r="Q26" s="8" t="s">
        <v>27</v>
      </c>
      <c r="R26" s="8" t="str">
        <f>VLOOKUP(B26,[1]Sheet2!$B$2:$D$91,3,FALSE)</f>
        <v>26</v>
      </c>
    </row>
    <row r="27" spans="1:18" ht="15.75" customHeight="1" x14ac:dyDescent="0.2">
      <c r="A27" s="7">
        <v>45964</v>
      </c>
      <c r="B27" s="8" t="s">
        <v>110</v>
      </c>
      <c r="C27" s="8" t="s">
        <v>111</v>
      </c>
      <c r="D27" s="8" t="s">
        <v>81</v>
      </c>
      <c r="E27" s="8" t="s">
        <v>107</v>
      </c>
      <c r="F27" s="8" t="s">
        <v>30</v>
      </c>
      <c r="G27" s="8" t="s">
        <v>31</v>
      </c>
      <c r="H27" s="8" t="s">
        <v>32</v>
      </c>
      <c r="I27" s="8" t="s">
        <v>33</v>
      </c>
      <c r="J27" s="8" t="s">
        <v>91</v>
      </c>
      <c r="K27" s="8" t="s">
        <v>92</v>
      </c>
      <c r="L27" s="8" t="s">
        <v>31</v>
      </c>
      <c r="M27" s="8">
        <v>1804860</v>
      </c>
      <c r="N27" s="8">
        <v>178860</v>
      </c>
      <c r="O27" s="8">
        <v>0</v>
      </c>
      <c r="P27" s="8" t="s">
        <v>36</v>
      </c>
      <c r="Q27" s="8" t="s">
        <v>27</v>
      </c>
      <c r="R27" s="8" t="str">
        <f>VLOOKUP(B27,[1]Sheet2!$B$2:$D$91,3,FALSE)</f>
        <v>26</v>
      </c>
    </row>
    <row r="28" spans="1:18" ht="15.75" customHeight="1" x14ac:dyDescent="0.2">
      <c r="A28" s="7">
        <v>45965</v>
      </c>
      <c r="B28" s="8" t="s">
        <v>112</v>
      </c>
      <c r="C28" s="8" t="s">
        <v>113</v>
      </c>
      <c r="D28" s="8" t="s">
        <v>81</v>
      </c>
      <c r="E28" s="8" t="s">
        <v>102</v>
      </c>
      <c r="F28" s="8" t="s">
        <v>30</v>
      </c>
      <c r="G28" s="8" t="s">
        <v>31</v>
      </c>
      <c r="H28" s="8" t="s">
        <v>32</v>
      </c>
      <c r="I28" s="8" t="s">
        <v>33</v>
      </c>
      <c r="J28" s="8" t="s">
        <v>103</v>
      </c>
      <c r="K28" s="8" t="s">
        <v>104</v>
      </c>
      <c r="L28" s="8" t="s">
        <v>31</v>
      </c>
      <c r="M28" s="8">
        <v>1883670</v>
      </c>
      <c r="N28" s="8">
        <v>186670</v>
      </c>
      <c r="O28" s="8">
        <v>0</v>
      </c>
      <c r="P28" s="8" t="s">
        <v>36</v>
      </c>
      <c r="Q28" s="8" t="s">
        <v>27</v>
      </c>
      <c r="R28" s="8" t="str">
        <f>VLOOKUP(B28,[1]Sheet2!$B$2:$D$91,3,FALSE)</f>
        <v>26</v>
      </c>
    </row>
    <row r="29" spans="1:18" ht="15.75" customHeight="1" x14ac:dyDescent="0.2">
      <c r="A29" s="7">
        <v>45965</v>
      </c>
      <c r="B29" s="8" t="s">
        <v>114</v>
      </c>
      <c r="C29" s="8" t="s">
        <v>115</v>
      </c>
      <c r="D29" s="8" t="s">
        <v>81</v>
      </c>
      <c r="E29" s="8" t="s">
        <v>102</v>
      </c>
      <c r="F29" s="8" t="s">
        <v>30</v>
      </c>
      <c r="G29" s="8" t="s">
        <v>31</v>
      </c>
      <c r="H29" s="8" t="s">
        <v>32</v>
      </c>
      <c r="I29" s="8" t="s">
        <v>33</v>
      </c>
      <c r="J29" s="8" t="s">
        <v>103</v>
      </c>
      <c r="K29" s="8" t="s">
        <v>104</v>
      </c>
      <c r="L29" s="8" t="s">
        <v>31</v>
      </c>
      <c r="M29" s="8">
        <v>1638082</v>
      </c>
      <c r="N29" s="8">
        <v>162332</v>
      </c>
      <c r="O29" s="8">
        <v>0</v>
      </c>
      <c r="P29" s="8" t="s">
        <v>36</v>
      </c>
      <c r="Q29" s="8" t="s">
        <v>27</v>
      </c>
      <c r="R29" s="8" t="str">
        <f>VLOOKUP(B29,[1]Sheet2!$B$2:$D$91,3,FALSE)</f>
        <v>26</v>
      </c>
    </row>
    <row r="30" spans="1:18" ht="15.75" customHeight="1" x14ac:dyDescent="0.2">
      <c r="A30" s="7">
        <v>45965</v>
      </c>
      <c r="B30" s="8" t="s">
        <v>116</v>
      </c>
      <c r="C30" s="8" t="s">
        <v>117</v>
      </c>
      <c r="D30" s="8" t="s">
        <v>81</v>
      </c>
      <c r="E30" s="8" t="s">
        <v>102</v>
      </c>
      <c r="F30" s="8" t="s">
        <v>30</v>
      </c>
      <c r="G30" s="8" t="s">
        <v>31</v>
      </c>
      <c r="H30" s="8" t="s">
        <v>32</v>
      </c>
      <c r="I30" s="8" t="s">
        <v>33</v>
      </c>
      <c r="J30" s="8" t="s">
        <v>103</v>
      </c>
      <c r="K30" s="8" t="s">
        <v>104</v>
      </c>
      <c r="L30" s="8" t="s">
        <v>31</v>
      </c>
      <c r="M30" s="8">
        <v>1103284</v>
      </c>
      <c r="N30" s="8">
        <v>109334</v>
      </c>
      <c r="O30" s="8">
        <v>0</v>
      </c>
      <c r="P30" s="8" t="s">
        <v>36</v>
      </c>
      <c r="Q30" s="8" t="s">
        <v>27</v>
      </c>
      <c r="R30" s="8" t="str">
        <f>VLOOKUP(B30,[1]Sheet2!$B$2:$D$91,3,FALSE)</f>
        <v>26</v>
      </c>
    </row>
    <row r="31" spans="1:18" ht="15.75" customHeight="1" x14ac:dyDescent="0.2">
      <c r="A31" s="7">
        <v>45965</v>
      </c>
      <c r="B31" s="8" t="s">
        <v>118</v>
      </c>
      <c r="C31" s="8" t="s">
        <v>119</v>
      </c>
      <c r="D31" s="8" t="s">
        <v>81</v>
      </c>
      <c r="E31" s="8" t="s">
        <v>97</v>
      </c>
      <c r="F31" s="8" t="s">
        <v>30</v>
      </c>
      <c r="G31" s="8" t="s">
        <v>31</v>
      </c>
      <c r="H31" s="8" t="s">
        <v>32</v>
      </c>
      <c r="I31" s="8" t="s">
        <v>33</v>
      </c>
      <c r="J31" s="8" t="s">
        <v>83</v>
      </c>
      <c r="K31" s="8" t="s">
        <v>84</v>
      </c>
      <c r="L31" s="8" t="s">
        <v>31</v>
      </c>
      <c r="M31" s="8">
        <v>1081237</v>
      </c>
      <c r="N31" s="8">
        <v>107149</v>
      </c>
      <c r="O31" s="8">
        <v>0</v>
      </c>
      <c r="P31" s="8" t="s">
        <v>36</v>
      </c>
      <c r="Q31" s="8" t="s">
        <v>27</v>
      </c>
      <c r="R31" s="8" t="str">
        <f>VLOOKUP(B31,[1]Sheet2!$B$2:$D$91,3,FALSE)</f>
        <v>07</v>
      </c>
    </row>
    <row r="32" spans="1:18" ht="15.75" customHeight="1" x14ac:dyDescent="0.2">
      <c r="A32" s="7">
        <v>45965</v>
      </c>
      <c r="B32" s="8" t="s">
        <v>120</v>
      </c>
      <c r="C32" s="8" t="s">
        <v>121</v>
      </c>
      <c r="D32" s="8" t="s">
        <v>81</v>
      </c>
      <c r="E32" s="8" t="s">
        <v>102</v>
      </c>
      <c r="F32" s="8" t="s">
        <v>75</v>
      </c>
      <c r="G32" s="8" t="s">
        <v>31</v>
      </c>
      <c r="H32" s="8" t="s">
        <v>32</v>
      </c>
      <c r="I32" s="8" t="s">
        <v>33</v>
      </c>
      <c r="J32" s="8" t="s">
        <v>122</v>
      </c>
      <c r="K32" s="8" t="s">
        <v>123</v>
      </c>
      <c r="L32" s="8" t="s">
        <v>31</v>
      </c>
      <c r="M32" s="8">
        <v>104895</v>
      </c>
      <c r="N32" s="8">
        <v>10395</v>
      </c>
      <c r="O32" s="8">
        <v>0</v>
      </c>
      <c r="P32" s="8" t="s">
        <v>36</v>
      </c>
      <c r="Q32" s="8" t="s">
        <v>27</v>
      </c>
      <c r="R32" s="8" t="str">
        <f>VLOOKUP(B32,[1]Sheet2!$B$2:$D$91,3,FALSE)</f>
        <v>26</v>
      </c>
    </row>
    <row r="33" spans="1:18" ht="15.75" customHeight="1" x14ac:dyDescent="0.2">
      <c r="A33" s="7">
        <v>45966</v>
      </c>
      <c r="B33" s="8" t="s">
        <v>124</v>
      </c>
      <c r="C33" s="8" t="s">
        <v>125</v>
      </c>
      <c r="D33" s="8" t="s">
        <v>81</v>
      </c>
      <c r="E33" s="8" t="s">
        <v>102</v>
      </c>
      <c r="F33" s="8" t="s">
        <v>30</v>
      </c>
      <c r="G33" s="8" t="s">
        <v>31</v>
      </c>
      <c r="H33" s="8" t="s">
        <v>32</v>
      </c>
      <c r="I33" s="8" t="s">
        <v>33</v>
      </c>
      <c r="J33" s="8" t="s">
        <v>103</v>
      </c>
      <c r="K33" s="8" t="s">
        <v>104</v>
      </c>
      <c r="L33" s="8" t="s">
        <v>31</v>
      </c>
      <c r="M33" s="8">
        <v>471599</v>
      </c>
      <c r="N33" s="8">
        <v>46735</v>
      </c>
      <c r="O33" s="8">
        <v>0</v>
      </c>
      <c r="P33" s="8" t="s">
        <v>36</v>
      </c>
      <c r="Q33" s="8" t="s">
        <v>27</v>
      </c>
      <c r="R33" s="8" t="str">
        <f>VLOOKUP(B33,[1]Sheet2!$B$2:$D$91,3,FALSE)</f>
        <v>26</v>
      </c>
    </row>
    <row r="34" spans="1:18" ht="15.75" customHeight="1" x14ac:dyDescent="0.2">
      <c r="A34" s="7">
        <v>45966</v>
      </c>
      <c r="B34" s="8" t="s">
        <v>126</v>
      </c>
      <c r="C34" s="8" t="s">
        <v>109</v>
      </c>
      <c r="D34" s="8" t="s">
        <v>81</v>
      </c>
      <c r="E34" s="8" t="s">
        <v>107</v>
      </c>
      <c r="F34" s="8" t="s">
        <v>30</v>
      </c>
      <c r="G34" s="8" t="s">
        <v>31</v>
      </c>
      <c r="H34" s="8" t="s">
        <v>32</v>
      </c>
      <c r="I34" s="8" t="s">
        <v>33</v>
      </c>
      <c r="J34" s="8" t="s">
        <v>91</v>
      </c>
      <c r="K34" s="8" t="s">
        <v>92</v>
      </c>
      <c r="L34" s="8" t="s">
        <v>31</v>
      </c>
      <c r="M34" s="8">
        <v>143856</v>
      </c>
      <c r="N34" s="8">
        <v>14256</v>
      </c>
      <c r="O34" s="8">
        <v>0</v>
      </c>
      <c r="P34" s="8" t="s">
        <v>36</v>
      </c>
      <c r="Q34" s="8" t="s">
        <v>27</v>
      </c>
      <c r="R34" s="8" t="str">
        <f>VLOOKUP(B34,[1]Sheet2!$B$2:$D$91,3,FALSE)</f>
        <v>26</v>
      </c>
    </row>
    <row r="35" spans="1:18" ht="15.75" customHeight="1" x14ac:dyDescent="0.2">
      <c r="A35" s="7">
        <v>45967</v>
      </c>
      <c r="B35" s="8" t="s">
        <v>127</v>
      </c>
      <c r="C35" s="8" t="s">
        <v>128</v>
      </c>
      <c r="D35" s="8" t="s">
        <v>81</v>
      </c>
      <c r="E35" s="8" t="s">
        <v>102</v>
      </c>
      <c r="F35" s="8" t="s">
        <v>30</v>
      </c>
      <c r="G35" s="8" t="s">
        <v>31</v>
      </c>
      <c r="H35" s="8" t="s">
        <v>32</v>
      </c>
      <c r="I35" s="8" t="s">
        <v>33</v>
      </c>
      <c r="J35" s="8" t="s">
        <v>103</v>
      </c>
      <c r="K35" s="8" t="s">
        <v>104</v>
      </c>
      <c r="L35" s="8" t="s">
        <v>31</v>
      </c>
      <c r="M35" s="8">
        <v>2664000</v>
      </c>
      <c r="N35" s="8">
        <v>264000</v>
      </c>
      <c r="O35" s="8">
        <v>0</v>
      </c>
      <c r="P35" s="8" t="s">
        <v>36</v>
      </c>
      <c r="Q35" s="8" t="s">
        <v>27</v>
      </c>
      <c r="R35" s="8" t="str">
        <f>VLOOKUP(B35,[1]Sheet2!$B$2:$D$91,3,FALSE)</f>
        <v>26</v>
      </c>
    </row>
    <row r="36" spans="1:18" ht="15.75" customHeight="1" x14ac:dyDescent="0.2">
      <c r="A36" s="7">
        <v>45968</v>
      </c>
      <c r="B36" s="8" t="s">
        <v>129</v>
      </c>
      <c r="C36" s="8" t="s">
        <v>130</v>
      </c>
      <c r="D36" s="8" t="s">
        <v>81</v>
      </c>
      <c r="E36" s="8" t="s">
        <v>102</v>
      </c>
      <c r="F36" s="8" t="s">
        <v>30</v>
      </c>
      <c r="G36" s="8" t="s">
        <v>31</v>
      </c>
      <c r="H36" s="8" t="s">
        <v>32</v>
      </c>
      <c r="I36" s="8" t="s">
        <v>33</v>
      </c>
      <c r="J36" s="8" t="s">
        <v>103</v>
      </c>
      <c r="K36" s="8" t="s">
        <v>104</v>
      </c>
      <c r="L36" s="8" t="s">
        <v>31</v>
      </c>
      <c r="M36" s="8">
        <v>8547166</v>
      </c>
      <c r="N36" s="8">
        <v>847016</v>
      </c>
      <c r="O36" s="8">
        <v>0</v>
      </c>
      <c r="P36" s="8" t="s">
        <v>36</v>
      </c>
      <c r="Q36" s="8" t="s">
        <v>27</v>
      </c>
      <c r="R36" s="8" t="str">
        <f>VLOOKUP(B36,[1]Sheet2!$B$2:$D$91,3,FALSE)</f>
        <v>26</v>
      </c>
    </row>
    <row r="37" spans="1:18" ht="15.75" customHeight="1" x14ac:dyDescent="0.2">
      <c r="A37" s="7">
        <v>45968</v>
      </c>
      <c r="B37" s="8" t="s">
        <v>131</v>
      </c>
      <c r="C37" s="8" t="s">
        <v>117</v>
      </c>
      <c r="D37" s="8" t="s">
        <v>81</v>
      </c>
      <c r="E37" s="8" t="s">
        <v>102</v>
      </c>
      <c r="F37" s="8" t="s">
        <v>30</v>
      </c>
      <c r="G37" s="8" t="s">
        <v>31</v>
      </c>
      <c r="H37" s="8" t="s">
        <v>32</v>
      </c>
      <c r="I37" s="8" t="s">
        <v>33</v>
      </c>
      <c r="J37" s="8" t="s">
        <v>103</v>
      </c>
      <c r="K37" s="8" t="s">
        <v>104</v>
      </c>
      <c r="L37" s="8" t="s">
        <v>31</v>
      </c>
      <c r="M37" s="8">
        <v>1097956</v>
      </c>
      <c r="N37" s="8">
        <v>108806</v>
      </c>
      <c r="O37" s="8">
        <v>0</v>
      </c>
      <c r="P37" s="8" t="s">
        <v>36</v>
      </c>
      <c r="Q37" s="8" t="s">
        <v>27</v>
      </c>
      <c r="R37" s="8" t="str">
        <f>VLOOKUP(B37,[1]Sheet2!$B$2:$D$91,3,FALSE)</f>
        <v>26</v>
      </c>
    </row>
    <row r="38" spans="1:18" ht="15.75" customHeight="1" x14ac:dyDescent="0.2">
      <c r="A38" s="7">
        <v>45968</v>
      </c>
      <c r="B38" s="8" t="s">
        <v>132</v>
      </c>
      <c r="C38" s="8" t="s">
        <v>133</v>
      </c>
      <c r="D38" s="8" t="s">
        <v>81</v>
      </c>
      <c r="E38" s="8" t="s">
        <v>97</v>
      </c>
      <c r="F38" s="8" t="s">
        <v>30</v>
      </c>
      <c r="G38" s="8" t="s">
        <v>31</v>
      </c>
      <c r="H38" s="8" t="s">
        <v>32</v>
      </c>
      <c r="I38" s="8" t="s">
        <v>33</v>
      </c>
      <c r="J38" s="8" t="s">
        <v>83</v>
      </c>
      <c r="K38" s="8" t="s">
        <v>84</v>
      </c>
      <c r="L38" s="8" t="s">
        <v>31</v>
      </c>
      <c r="M38" s="8">
        <v>2697566</v>
      </c>
      <c r="N38" s="8">
        <v>267326</v>
      </c>
      <c r="O38" s="8">
        <v>0</v>
      </c>
      <c r="P38" s="8" t="s">
        <v>36</v>
      </c>
      <c r="Q38" s="8" t="s">
        <v>27</v>
      </c>
      <c r="R38" s="8" t="str">
        <f>VLOOKUP(B38,[1]Sheet2!$B$2:$D$91,3,FALSE)</f>
        <v>07</v>
      </c>
    </row>
    <row r="39" spans="1:18" ht="15.75" customHeight="1" x14ac:dyDescent="0.2">
      <c r="A39" s="7">
        <v>45576</v>
      </c>
      <c r="B39" s="8" t="s">
        <v>134</v>
      </c>
      <c r="C39" s="8" t="s">
        <v>135</v>
      </c>
      <c r="D39" s="8" t="s">
        <v>136</v>
      </c>
      <c r="E39" s="8" t="s">
        <v>137</v>
      </c>
      <c r="F39" s="8" t="s">
        <v>30</v>
      </c>
      <c r="G39" s="8" t="s">
        <v>31</v>
      </c>
      <c r="H39" s="8" t="s">
        <v>32</v>
      </c>
      <c r="I39" s="8" t="s">
        <v>33</v>
      </c>
      <c r="J39" s="8" t="s">
        <v>122</v>
      </c>
      <c r="K39" s="8" t="s">
        <v>122</v>
      </c>
      <c r="L39" s="8" t="s">
        <v>31</v>
      </c>
      <c r="M39" s="8">
        <v>2156776</v>
      </c>
      <c r="N39" s="8">
        <v>213734</v>
      </c>
      <c r="O39" s="8">
        <v>0</v>
      </c>
      <c r="P39" s="8" t="s">
        <v>36</v>
      </c>
      <c r="Q39" s="8" t="s">
        <v>27</v>
      </c>
      <c r="R39" s="8" t="str">
        <f>VLOOKUP(B39,[1]Sheet2!$B$2:$D$91,3,FALSE)</f>
        <v>26</v>
      </c>
    </row>
    <row r="40" spans="1:18" ht="15.75" customHeight="1" x14ac:dyDescent="0.2">
      <c r="A40" s="7">
        <v>45588</v>
      </c>
      <c r="B40" s="8" t="s">
        <v>138</v>
      </c>
      <c r="C40" s="8" t="s">
        <v>139</v>
      </c>
      <c r="D40" s="8" t="s">
        <v>136</v>
      </c>
      <c r="E40" s="8" t="s">
        <v>140</v>
      </c>
      <c r="F40" s="8" t="s">
        <v>30</v>
      </c>
      <c r="G40" s="8" t="s">
        <v>31</v>
      </c>
      <c r="H40" s="8" t="s">
        <v>32</v>
      </c>
      <c r="I40" s="8" t="s">
        <v>33</v>
      </c>
      <c r="J40" s="8" t="s">
        <v>122</v>
      </c>
      <c r="K40" s="8" t="s">
        <v>122</v>
      </c>
      <c r="L40" s="8" t="s">
        <v>31</v>
      </c>
      <c r="M40" s="8">
        <v>1800095</v>
      </c>
      <c r="N40" s="8">
        <v>178387</v>
      </c>
      <c r="O40" s="8">
        <v>0</v>
      </c>
      <c r="P40" s="8" t="s">
        <v>36</v>
      </c>
      <c r="Q40" s="8" t="s">
        <v>27</v>
      </c>
      <c r="R40" s="8" t="str">
        <f>VLOOKUP(B40,[1]Sheet2!$B$2:$D$91,3,FALSE)</f>
        <v>26</v>
      </c>
    </row>
    <row r="41" spans="1:18" ht="15.75" customHeight="1" x14ac:dyDescent="0.2">
      <c r="A41" s="7">
        <v>45895</v>
      </c>
      <c r="B41" s="8" t="s">
        <v>141</v>
      </c>
      <c r="C41" s="8" t="s">
        <v>142</v>
      </c>
      <c r="D41" s="8" t="s">
        <v>136</v>
      </c>
      <c r="E41" s="8" t="s">
        <v>143</v>
      </c>
      <c r="F41" s="8" t="s">
        <v>30</v>
      </c>
      <c r="G41" s="8" t="s">
        <v>31</v>
      </c>
      <c r="H41" s="8" t="s">
        <v>32</v>
      </c>
      <c r="I41" s="8" t="s">
        <v>33</v>
      </c>
      <c r="J41" s="8" t="s">
        <v>122</v>
      </c>
      <c r="K41" s="8" t="s">
        <v>122</v>
      </c>
      <c r="L41" s="8" t="s">
        <v>31</v>
      </c>
      <c r="M41" s="8">
        <v>380512</v>
      </c>
      <c r="N41" s="8">
        <v>37708</v>
      </c>
      <c r="O41" s="8">
        <v>0</v>
      </c>
      <c r="P41" s="8" t="s">
        <v>36</v>
      </c>
      <c r="Q41" s="8" t="s">
        <v>27</v>
      </c>
      <c r="R41" s="8" t="str">
        <f>VLOOKUP(B41,[1]Sheet2!$B$2:$D$91,3,FALSE)</f>
        <v>26</v>
      </c>
    </row>
    <row r="42" spans="1:18" ht="15.75" customHeight="1" x14ac:dyDescent="0.2">
      <c r="A42" s="7">
        <v>45895</v>
      </c>
      <c r="B42" s="8" t="s">
        <v>144</v>
      </c>
      <c r="C42" s="8" t="s">
        <v>145</v>
      </c>
      <c r="D42" s="8" t="s">
        <v>136</v>
      </c>
      <c r="E42" s="8" t="s">
        <v>146</v>
      </c>
      <c r="F42" s="8" t="s">
        <v>30</v>
      </c>
      <c r="G42" s="8" t="s">
        <v>31</v>
      </c>
      <c r="H42" s="8" t="s">
        <v>32</v>
      </c>
      <c r="I42" s="8" t="s">
        <v>33</v>
      </c>
      <c r="J42" s="8" t="s">
        <v>122</v>
      </c>
      <c r="K42" s="8" t="s">
        <v>122</v>
      </c>
      <c r="L42" s="8" t="s">
        <v>31</v>
      </c>
      <c r="M42" s="8">
        <v>197435</v>
      </c>
      <c r="N42" s="8">
        <v>19565</v>
      </c>
      <c r="O42" s="8">
        <v>0</v>
      </c>
      <c r="P42" s="8" t="s">
        <v>36</v>
      </c>
      <c r="Q42" s="8" t="s">
        <v>27</v>
      </c>
      <c r="R42" s="8" t="str">
        <f>VLOOKUP(B42,[1]Sheet2!$B$2:$D$91,3,FALSE)</f>
        <v>26</v>
      </c>
    </row>
    <row r="43" spans="1:18" ht="15.75" customHeight="1" x14ac:dyDescent="0.2">
      <c r="A43" s="7">
        <v>45904</v>
      </c>
      <c r="B43" s="8" t="s">
        <v>147</v>
      </c>
      <c r="C43" s="8" t="s">
        <v>148</v>
      </c>
      <c r="D43" s="8" t="s">
        <v>136</v>
      </c>
      <c r="E43" s="8" t="s">
        <v>149</v>
      </c>
      <c r="F43" s="8" t="s">
        <v>30</v>
      </c>
      <c r="G43" s="8" t="s">
        <v>31</v>
      </c>
      <c r="H43" s="8" t="s">
        <v>32</v>
      </c>
      <c r="I43" s="8" t="s">
        <v>33</v>
      </c>
      <c r="J43" s="8" t="s">
        <v>122</v>
      </c>
      <c r="K43" s="8" t="s">
        <v>122</v>
      </c>
      <c r="L43" s="8" t="s">
        <v>31</v>
      </c>
      <c r="M43" s="8">
        <v>380512</v>
      </c>
      <c r="N43" s="8">
        <v>37708</v>
      </c>
      <c r="O43" s="8">
        <v>0</v>
      </c>
      <c r="P43" s="8" t="s">
        <v>36</v>
      </c>
      <c r="Q43" s="8" t="s">
        <v>27</v>
      </c>
      <c r="R43" s="8" t="str">
        <f>VLOOKUP(B43,[1]Sheet2!$B$2:$D$91,3,FALSE)</f>
        <v>26</v>
      </c>
    </row>
    <row r="44" spans="1:18" ht="15.75" customHeight="1" x14ac:dyDescent="0.2">
      <c r="A44" s="7">
        <v>45887</v>
      </c>
      <c r="B44" s="8" t="s">
        <v>150</v>
      </c>
      <c r="C44" s="8" t="s">
        <v>151</v>
      </c>
      <c r="D44" s="8" t="s">
        <v>152</v>
      </c>
      <c r="E44" s="8" t="s">
        <v>153</v>
      </c>
      <c r="F44" s="8" t="s">
        <v>30</v>
      </c>
      <c r="G44" s="8" t="s">
        <v>31</v>
      </c>
      <c r="H44" s="8" t="s">
        <v>32</v>
      </c>
      <c r="I44" s="8" t="s">
        <v>76</v>
      </c>
      <c r="J44" s="8" t="s">
        <v>154</v>
      </c>
      <c r="K44" s="8" t="s">
        <v>122</v>
      </c>
      <c r="L44" s="8" t="s">
        <v>31</v>
      </c>
      <c r="M44" s="8">
        <v>197435</v>
      </c>
      <c r="N44" s="8">
        <v>19565</v>
      </c>
      <c r="O44" s="8">
        <v>0</v>
      </c>
      <c r="P44" s="8" t="s">
        <v>36</v>
      </c>
      <c r="Q44" s="8" t="s">
        <v>27</v>
      </c>
      <c r="R44" s="8" t="str">
        <f>VLOOKUP(B44,[1]Sheet2!$B$2:$D$91,3,FALSE)</f>
        <v>26</v>
      </c>
    </row>
    <row r="45" spans="1:18" ht="15.75" customHeight="1" x14ac:dyDescent="0.2">
      <c r="A45" s="7">
        <v>45904</v>
      </c>
      <c r="B45" s="8" t="s">
        <v>155</v>
      </c>
      <c r="C45" s="8" t="s">
        <v>156</v>
      </c>
      <c r="D45" s="8" t="s">
        <v>152</v>
      </c>
      <c r="E45" s="8" t="s">
        <v>157</v>
      </c>
      <c r="F45" s="8" t="s">
        <v>30</v>
      </c>
      <c r="G45" s="8" t="s">
        <v>31</v>
      </c>
      <c r="H45" s="8" t="s">
        <v>32</v>
      </c>
      <c r="I45" s="8" t="s">
        <v>76</v>
      </c>
      <c r="J45" s="8" t="s">
        <v>154</v>
      </c>
      <c r="K45" s="8" t="s">
        <v>122</v>
      </c>
      <c r="L45" s="8" t="s">
        <v>31</v>
      </c>
      <c r="M45" s="8">
        <v>1056153</v>
      </c>
      <c r="N45" s="8">
        <v>104663</v>
      </c>
      <c r="O45" s="8">
        <v>0</v>
      </c>
      <c r="P45" s="8" t="s">
        <v>36</v>
      </c>
      <c r="Q45" s="8" t="s">
        <v>27</v>
      </c>
      <c r="R45" s="8" t="str">
        <f>VLOOKUP(B45,[1]Sheet2!$B$2:$D$91,3,FALSE)</f>
        <v>07</v>
      </c>
    </row>
    <row r="46" spans="1:18" ht="15.75" customHeight="1" x14ac:dyDescent="0.2">
      <c r="A46" s="7">
        <v>45927</v>
      </c>
      <c r="B46" s="8" t="s">
        <v>158</v>
      </c>
      <c r="C46" s="8" t="s">
        <v>159</v>
      </c>
      <c r="D46" s="8" t="s">
        <v>152</v>
      </c>
      <c r="E46" s="8" t="s">
        <v>160</v>
      </c>
      <c r="F46" s="8" t="s">
        <v>30</v>
      </c>
      <c r="G46" s="8" t="s">
        <v>31</v>
      </c>
      <c r="H46" s="8" t="s">
        <v>32</v>
      </c>
      <c r="I46" s="8" t="s">
        <v>76</v>
      </c>
      <c r="J46" s="8" t="s">
        <v>154</v>
      </c>
      <c r="K46" s="8" t="s">
        <v>122</v>
      </c>
      <c r="L46" s="8" t="s">
        <v>31</v>
      </c>
      <c r="M46" s="8">
        <v>2095198</v>
      </c>
      <c r="N46" s="8">
        <v>207632</v>
      </c>
      <c r="O46" s="8">
        <v>0</v>
      </c>
      <c r="P46" s="8" t="s">
        <v>36</v>
      </c>
      <c r="Q46" s="8" t="s">
        <v>27</v>
      </c>
      <c r="R46" s="8" t="str">
        <f>VLOOKUP(B46,[1]Sheet2!$B$2:$D$91,3,FALSE)</f>
        <v>07</v>
      </c>
    </row>
    <row r="47" spans="1:18" ht="15.75" customHeight="1" x14ac:dyDescent="0.2">
      <c r="A47" s="7">
        <v>45964</v>
      </c>
      <c r="B47" s="8" t="s">
        <v>161</v>
      </c>
      <c r="C47" s="8" t="s">
        <v>162</v>
      </c>
      <c r="D47" s="8" t="s">
        <v>152</v>
      </c>
      <c r="E47" s="8" t="s">
        <v>163</v>
      </c>
      <c r="F47" s="8" t="s">
        <v>30</v>
      </c>
      <c r="G47" s="8" t="s">
        <v>31</v>
      </c>
      <c r="H47" s="8" t="s">
        <v>32</v>
      </c>
      <c r="I47" s="8" t="s">
        <v>76</v>
      </c>
      <c r="J47" s="8" t="s">
        <v>154</v>
      </c>
      <c r="K47" s="8" t="s">
        <v>122</v>
      </c>
      <c r="L47" s="8" t="s">
        <v>31</v>
      </c>
      <c r="M47" s="8">
        <v>402050</v>
      </c>
      <c r="N47" s="8">
        <v>39842</v>
      </c>
      <c r="O47" s="8">
        <v>0</v>
      </c>
      <c r="P47" s="8" t="s">
        <v>36</v>
      </c>
      <c r="Q47" s="8" t="s">
        <v>27</v>
      </c>
      <c r="R47" s="8" t="str">
        <f>VLOOKUP(B47,[1]Sheet2!$B$2:$D$91,3,FALSE)</f>
        <v>28</v>
      </c>
    </row>
    <row r="48" spans="1:18" ht="15.75" customHeight="1" x14ac:dyDescent="0.2">
      <c r="A48" s="7">
        <v>45965</v>
      </c>
      <c r="B48" s="8" t="s">
        <v>164</v>
      </c>
      <c r="C48" s="8" t="s">
        <v>165</v>
      </c>
      <c r="D48" s="8" t="s">
        <v>152</v>
      </c>
      <c r="E48" s="8" t="s">
        <v>166</v>
      </c>
      <c r="F48" s="8" t="s">
        <v>30</v>
      </c>
      <c r="G48" s="8" t="s">
        <v>31</v>
      </c>
      <c r="H48" s="8" t="s">
        <v>32</v>
      </c>
      <c r="I48" s="8" t="s">
        <v>76</v>
      </c>
      <c r="J48" s="8" t="s">
        <v>91</v>
      </c>
      <c r="K48" s="8" t="s">
        <v>167</v>
      </c>
      <c r="L48" s="8" t="s">
        <v>31</v>
      </c>
      <c r="M48" s="8">
        <v>47452</v>
      </c>
      <c r="N48" s="8">
        <v>4702</v>
      </c>
      <c r="O48" s="8">
        <v>0</v>
      </c>
      <c r="P48" s="8" t="s">
        <v>36</v>
      </c>
      <c r="Q48" s="8" t="s">
        <v>27</v>
      </c>
      <c r="R48" s="8" t="str">
        <f>VLOOKUP(B48,[1]Sheet2!$B$2:$D$91,3,FALSE)</f>
        <v>26</v>
      </c>
    </row>
    <row r="49" spans="1:18" ht="15.75" customHeight="1" x14ac:dyDescent="0.2">
      <c r="A49" s="7">
        <v>45965</v>
      </c>
      <c r="B49" s="8" t="s">
        <v>168</v>
      </c>
      <c r="C49" s="8" t="s">
        <v>169</v>
      </c>
      <c r="D49" s="8" t="s">
        <v>152</v>
      </c>
      <c r="E49" s="8" t="s">
        <v>166</v>
      </c>
      <c r="F49" s="8" t="s">
        <v>30</v>
      </c>
      <c r="G49" s="8" t="s">
        <v>31</v>
      </c>
      <c r="H49" s="8" t="s">
        <v>32</v>
      </c>
      <c r="I49" s="8" t="s">
        <v>76</v>
      </c>
      <c r="J49" s="8" t="s">
        <v>91</v>
      </c>
      <c r="K49" s="8" t="s">
        <v>167</v>
      </c>
      <c r="L49" s="8" t="s">
        <v>31</v>
      </c>
      <c r="M49" s="8">
        <v>789210</v>
      </c>
      <c r="N49" s="8">
        <v>78210</v>
      </c>
      <c r="O49" s="8">
        <v>0</v>
      </c>
      <c r="P49" s="8" t="s">
        <v>36</v>
      </c>
      <c r="Q49" s="8" t="s">
        <v>27</v>
      </c>
      <c r="R49" s="8" t="str">
        <f>VLOOKUP(B49,[1]Sheet2!$B$2:$D$91,3,FALSE)</f>
        <v>26</v>
      </c>
    </row>
    <row r="50" spans="1:18" ht="15.75" customHeight="1" x14ac:dyDescent="0.2">
      <c r="A50" s="7">
        <v>45965</v>
      </c>
      <c r="B50" s="8" t="s">
        <v>170</v>
      </c>
      <c r="C50" s="8" t="s">
        <v>171</v>
      </c>
      <c r="D50" s="8" t="s">
        <v>152</v>
      </c>
      <c r="E50" s="8" t="s">
        <v>172</v>
      </c>
      <c r="F50" s="8" t="s">
        <v>30</v>
      </c>
      <c r="G50" s="8" t="s">
        <v>31</v>
      </c>
      <c r="H50" s="8" t="s">
        <v>32</v>
      </c>
      <c r="I50" s="8" t="s">
        <v>76</v>
      </c>
      <c r="J50" s="8" t="s">
        <v>103</v>
      </c>
      <c r="K50" s="8" t="s">
        <v>173</v>
      </c>
      <c r="L50" s="8" t="s">
        <v>31</v>
      </c>
      <c r="M50" s="8">
        <v>108225</v>
      </c>
      <c r="N50" s="8">
        <v>10725</v>
      </c>
      <c r="O50" s="8">
        <v>0</v>
      </c>
      <c r="P50" s="8" t="s">
        <v>36</v>
      </c>
      <c r="Q50" s="8" t="s">
        <v>27</v>
      </c>
      <c r="R50" s="8" t="str">
        <f>VLOOKUP(B50,[1]Sheet2!$B$2:$D$91,3,FALSE)</f>
        <v>26</v>
      </c>
    </row>
    <row r="51" spans="1:18" ht="15.75" customHeight="1" x14ac:dyDescent="0.2">
      <c r="A51" s="7">
        <v>45965</v>
      </c>
      <c r="B51" s="8" t="s">
        <v>174</v>
      </c>
      <c r="C51" s="8" t="s">
        <v>175</v>
      </c>
      <c r="D51" s="8" t="s">
        <v>152</v>
      </c>
      <c r="E51" s="8" t="s">
        <v>172</v>
      </c>
      <c r="F51" s="8" t="s">
        <v>30</v>
      </c>
      <c r="G51" s="8" t="s">
        <v>31</v>
      </c>
      <c r="H51" s="8" t="s">
        <v>32</v>
      </c>
      <c r="I51" s="8" t="s">
        <v>76</v>
      </c>
      <c r="J51" s="8" t="s">
        <v>103</v>
      </c>
      <c r="K51" s="8" t="s">
        <v>173</v>
      </c>
      <c r="L51" s="8" t="s">
        <v>31</v>
      </c>
      <c r="M51" s="8">
        <v>201465</v>
      </c>
      <c r="N51" s="8">
        <v>19965</v>
      </c>
      <c r="O51" s="8">
        <v>0</v>
      </c>
      <c r="P51" s="8" t="s">
        <v>36</v>
      </c>
      <c r="Q51" s="8" t="s">
        <v>27</v>
      </c>
      <c r="R51" s="8" t="str">
        <f>VLOOKUP(B51,[1]Sheet2!$B$2:$D$91,3,FALSE)</f>
        <v>26</v>
      </c>
    </row>
    <row r="52" spans="1:18" ht="15.75" customHeight="1" x14ac:dyDescent="0.2">
      <c r="A52" s="7">
        <v>45965</v>
      </c>
      <c r="B52" s="8" t="s">
        <v>176</v>
      </c>
      <c r="C52" s="8" t="s">
        <v>177</v>
      </c>
      <c r="D52" s="8" t="s">
        <v>152</v>
      </c>
      <c r="E52" s="8" t="s">
        <v>172</v>
      </c>
      <c r="F52" s="8" t="s">
        <v>30</v>
      </c>
      <c r="G52" s="8" t="s">
        <v>31</v>
      </c>
      <c r="H52" s="8" t="s">
        <v>32</v>
      </c>
      <c r="I52" s="8" t="s">
        <v>76</v>
      </c>
      <c r="J52" s="8" t="s">
        <v>103</v>
      </c>
      <c r="K52" s="8" t="s">
        <v>173</v>
      </c>
      <c r="L52" s="8" t="s">
        <v>31</v>
      </c>
      <c r="M52" s="8">
        <v>1864800</v>
      </c>
      <c r="N52" s="8">
        <v>184800</v>
      </c>
      <c r="O52" s="8">
        <v>0</v>
      </c>
      <c r="P52" s="8" t="s">
        <v>36</v>
      </c>
      <c r="Q52" s="8" t="s">
        <v>27</v>
      </c>
      <c r="R52" s="8" t="str">
        <f>VLOOKUP(B52,[1]Sheet2!$B$2:$D$91,3,FALSE)</f>
        <v>26</v>
      </c>
    </row>
    <row r="53" spans="1:18" ht="15.75" customHeight="1" x14ac:dyDescent="0.2">
      <c r="A53" s="7">
        <v>45965</v>
      </c>
      <c r="B53" s="8" t="s">
        <v>178</v>
      </c>
      <c r="C53" s="8" t="s">
        <v>179</v>
      </c>
      <c r="D53" s="8" t="s">
        <v>152</v>
      </c>
      <c r="E53" s="8" t="s">
        <v>172</v>
      </c>
      <c r="F53" s="8" t="s">
        <v>30</v>
      </c>
      <c r="G53" s="8" t="s">
        <v>31</v>
      </c>
      <c r="H53" s="8" t="s">
        <v>32</v>
      </c>
      <c r="I53" s="8" t="s">
        <v>76</v>
      </c>
      <c r="J53" s="8" t="s">
        <v>103</v>
      </c>
      <c r="K53" s="8" t="s">
        <v>173</v>
      </c>
      <c r="L53" s="8" t="s">
        <v>31</v>
      </c>
      <c r="M53" s="8">
        <v>213120</v>
      </c>
      <c r="N53" s="8">
        <v>21120</v>
      </c>
      <c r="O53" s="8">
        <v>0</v>
      </c>
      <c r="P53" s="8" t="s">
        <v>36</v>
      </c>
      <c r="Q53" s="8" t="s">
        <v>27</v>
      </c>
      <c r="R53" s="8" t="str">
        <f>VLOOKUP(B53,[1]Sheet2!$B$2:$D$91,3,FALSE)</f>
        <v>26</v>
      </c>
    </row>
    <row r="54" spans="1:18" ht="15.75" customHeight="1" x14ac:dyDescent="0.2">
      <c r="A54" s="7">
        <v>45965</v>
      </c>
      <c r="B54" s="8" t="s">
        <v>180</v>
      </c>
      <c r="C54" s="8" t="s">
        <v>171</v>
      </c>
      <c r="D54" s="8" t="s">
        <v>152</v>
      </c>
      <c r="E54" s="8" t="s">
        <v>172</v>
      </c>
      <c r="F54" s="8" t="s">
        <v>30</v>
      </c>
      <c r="G54" s="8" t="s">
        <v>31</v>
      </c>
      <c r="H54" s="8" t="s">
        <v>32</v>
      </c>
      <c r="I54" s="8" t="s">
        <v>76</v>
      </c>
      <c r="J54" s="8" t="s">
        <v>103</v>
      </c>
      <c r="K54" s="8" t="s">
        <v>173</v>
      </c>
      <c r="L54" s="8" t="s">
        <v>31</v>
      </c>
      <c r="M54" s="8">
        <v>979075</v>
      </c>
      <c r="N54" s="8">
        <v>97025</v>
      </c>
      <c r="O54" s="8">
        <v>0</v>
      </c>
      <c r="P54" s="8" t="s">
        <v>36</v>
      </c>
      <c r="Q54" s="8" t="s">
        <v>27</v>
      </c>
      <c r="R54" s="8" t="str">
        <f>VLOOKUP(B54,[1]Sheet2!$B$2:$D$91,3,FALSE)</f>
        <v>26</v>
      </c>
    </row>
    <row r="55" spans="1:18" ht="15.75" customHeight="1" x14ac:dyDescent="0.2">
      <c r="A55" s="7">
        <v>45965</v>
      </c>
      <c r="B55" s="8" t="s">
        <v>181</v>
      </c>
      <c r="C55" s="8" t="s">
        <v>177</v>
      </c>
      <c r="D55" s="8" t="s">
        <v>152</v>
      </c>
      <c r="E55" s="8" t="s">
        <v>172</v>
      </c>
      <c r="F55" s="8" t="s">
        <v>30</v>
      </c>
      <c r="G55" s="8" t="s">
        <v>31</v>
      </c>
      <c r="H55" s="8" t="s">
        <v>32</v>
      </c>
      <c r="I55" s="8" t="s">
        <v>76</v>
      </c>
      <c r="J55" s="8" t="s">
        <v>103</v>
      </c>
      <c r="K55" s="8" t="s">
        <v>173</v>
      </c>
      <c r="L55" s="8" t="s">
        <v>31</v>
      </c>
      <c r="M55" s="8">
        <v>266400</v>
      </c>
      <c r="N55" s="8">
        <v>26400</v>
      </c>
      <c r="O55" s="8">
        <v>0</v>
      </c>
      <c r="P55" s="8" t="s">
        <v>36</v>
      </c>
      <c r="Q55" s="8" t="s">
        <v>27</v>
      </c>
      <c r="R55" s="8" t="str">
        <f>VLOOKUP(B55,[1]Sheet2!$B$2:$D$91,3,FALSE)</f>
        <v>26</v>
      </c>
    </row>
    <row r="56" spans="1:18" ht="15.75" customHeight="1" x14ac:dyDescent="0.2">
      <c r="A56" s="7">
        <v>45965</v>
      </c>
      <c r="B56" s="8" t="s">
        <v>182</v>
      </c>
      <c r="C56" s="8" t="s">
        <v>179</v>
      </c>
      <c r="D56" s="8" t="s">
        <v>152</v>
      </c>
      <c r="E56" s="8" t="s">
        <v>172</v>
      </c>
      <c r="F56" s="8" t="s">
        <v>30</v>
      </c>
      <c r="G56" s="8" t="s">
        <v>31</v>
      </c>
      <c r="H56" s="8" t="s">
        <v>32</v>
      </c>
      <c r="I56" s="8" t="s">
        <v>76</v>
      </c>
      <c r="J56" s="8" t="s">
        <v>103</v>
      </c>
      <c r="K56" s="8" t="s">
        <v>173</v>
      </c>
      <c r="L56" s="8" t="s">
        <v>31</v>
      </c>
      <c r="M56" s="8">
        <v>1065600</v>
      </c>
      <c r="N56" s="8">
        <v>105600</v>
      </c>
      <c r="O56" s="8">
        <v>0</v>
      </c>
      <c r="P56" s="8" t="s">
        <v>36</v>
      </c>
      <c r="Q56" s="8" t="s">
        <v>27</v>
      </c>
      <c r="R56" s="8" t="str">
        <f>VLOOKUP(B56,[1]Sheet2!$B$2:$D$91,3,FALSE)</f>
        <v>26</v>
      </c>
    </row>
    <row r="57" spans="1:18" ht="15.75" customHeight="1" x14ac:dyDescent="0.2">
      <c r="A57" s="7">
        <v>45966</v>
      </c>
      <c r="B57" s="8" t="s">
        <v>183</v>
      </c>
      <c r="C57" s="8" t="s">
        <v>184</v>
      </c>
      <c r="D57" s="8" t="s">
        <v>152</v>
      </c>
      <c r="E57" s="8" t="s">
        <v>172</v>
      </c>
      <c r="F57" s="8" t="s">
        <v>30</v>
      </c>
      <c r="G57" s="8" t="s">
        <v>31</v>
      </c>
      <c r="H57" s="8" t="s">
        <v>32</v>
      </c>
      <c r="I57" s="8" t="s">
        <v>76</v>
      </c>
      <c r="J57" s="8" t="s">
        <v>103</v>
      </c>
      <c r="K57" s="8" t="s">
        <v>173</v>
      </c>
      <c r="L57" s="8" t="s">
        <v>31</v>
      </c>
      <c r="M57" s="8">
        <v>31635</v>
      </c>
      <c r="N57" s="8">
        <v>3135</v>
      </c>
      <c r="O57" s="8">
        <v>0</v>
      </c>
      <c r="P57" s="8" t="s">
        <v>36</v>
      </c>
      <c r="Q57" s="8" t="s">
        <v>27</v>
      </c>
      <c r="R57" s="8" t="str">
        <f>VLOOKUP(B57,[1]Sheet2!$B$2:$D$91,3,FALSE)</f>
        <v>26</v>
      </c>
    </row>
    <row r="58" spans="1:18" ht="15.75" customHeight="1" x14ac:dyDescent="0.2">
      <c r="A58" s="7">
        <v>45966</v>
      </c>
      <c r="B58" s="8" t="s">
        <v>185</v>
      </c>
      <c r="C58" s="8" t="s">
        <v>27</v>
      </c>
      <c r="D58" s="8" t="s">
        <v>152</v>
      </c>
      <c r="E58" s="8" t="s">
        <v>186</v>
      </c>
      <c r="F58" s="8" t="s">
        <v>30</v>
      </c>
      <c r="G58" s="8" t="s">
        <v>31</v>
      </c>
      <c r="H58" s="8" t="s">
        <v>32</v>
      </c>
      <c r="I58" s="8" t="s">
        <v>39</v>
      </c>
      <c r="J58" s="8" t="s">
        <v>187</v>
      </c>
      <c r="K58" s="8" t="s">
        <v>188</v>
      </c>
      <c r="L58" s="8" t="s">
        <v>31</v>
      </c>
      <c r="M58" s="8">
        <v>9926119</v>
      </c>
      <c r="N58" s="8">
        <v>983669</v>
      </c>
      <c r="O58" s="8">
        <v>0</v>
      </c>
      <c r="P58" s="8" t="s">
        <v>36</v>
      </c>
      <c r="Q58" s="8" t="s">
        <v>27</v>
      </c>
      <c r="R58" s="8" t="str">
        <f>VLOOKUP(B58,[1]Sheet2!$B$2:$D$91,3,FALSE)</f>
        <v>07</v>
      </c>
    </row>
    <row r="59" spans="1:18" ht="15.75" customHeight="1" x14ac:dyDescent="0.2">
      <c r="A59" s="7">
        <v>45967</v>
      </c>
      <c r="B59" s="8" t="s">
        <v>189</v>
      </c>
      <c r="C59" s="8" t="s">
        <v>190</v>
      </c>
      <c r="D59" s="8" t="s">
        <v>152</v>
      </c>
      <c r="E59" s="8" t="s">
        <v>191</v>
      </c>
      <c r="F59" s="8" t="s">
        <v>30</v>
      </c>
      <c r="G59" s="8" t="s">
        <v>31</v>
      </c>
      <c r="H59" s="8" t="s">
        <v>32</v>
      </c>
      <c r="I59" s="8" t="s">
        <v>76</v>
      </c>
      <c r="J59" s="8" t="s">
        <v>154</v>
      </c>
      <c r="K59" s="8" t="s">
        <v>122</v>
      </c>
      <c r="L59" s="8" t="s">
        <v>31</v>
      </c>
      <c r="M59" s="8">
        <v>197435</v>
      </c>
      <c r="N59" s="8">
        <v>19565</v>
      </c>
      <c r="O59" s="8">
        <v>0</v>
      </c>
      <c r="P59" s="8" t="s">
        <v>36</v>
      </c>
      <c r="Q59" s="8" t="s">
        <v>27</v>
      </c>
      <c r="R59" s="8" t="str">
        <f>VLOOKUP(B59,[1]Sheet2!$B$2:$D$91,3,FALSE)</f>
        <v>28</v>
      </c>
    </row>
    <row r="60" spans="1:18" ht="15.75" customHeight="1" x14ac:dyDescent="0.2">
      <c r="A60" s="7">
        <v>45967</v>
      </c>
      <c r="B60" s="8" t="s">
        <v>192</v>
      </c>
      <c r="C60" s="8" t="s">
        <v>193</v>
      </c>
      <c r="D60" s="8" t="s">
        <v>152</v>
      </c>
      <c r="E60" s="8" t="s">
        <v>194</v>
      </c>
      <c r="F60" s="8" t="s">
        <v>30</v>
      </c>
      <c r="G60" s="8" t="s">
        <v>31</v>
      </c>
      <c r="H60" s="8" t="s">
        <v>32</v>
      </c>
      <c r="I60" s="8" t="s">
        <v>76</v>
      </c>
      <c r="J60" s="8" t="s">
        <v>154</v>
      </c>
      <c r="K60" s="8" t="s">
        <v>122</v>
      </c>
      <c r="L60" s="8" t="s">
        <v>31</v>
      </c>
      <c r="M60" s="8">
        <v>197435</v>
      </c>
      <c r="N60" s="8">
        <v>19565</v>
      </c>
      <c r="O60" s="8">
        <v>0</v>
      </c>
      <c r="P60" s="8" t="s">
        <v>36</v>
      </c>
      <c r="Q60" s="8" t="s">
        <v>27</v>
      </c>
      <c r="R60" s="8" t="str">
        <f>VLOOKUP(B60,[1]Sheet2!$B$2:$D$91,3,FALSE)</f>
        <v>28</v>
      </c>
    </row>
    <row r="61" spans="1:18" ht="15.75" customHeight="1" x14ac:dyDescent="0.2">
      <c r="A61" s="7">
        <v>45967</v>
      </c>
      <c r="B61" s="8" t="s">
        <v>195</v>
      </c>
      <c r="C61" s="8" t="s">
        <v>196</v>
      </c>
      <c r="D61" s="8" t="s">
        <v>152</v>
      </c>
      <c r="E61" s="8" t="s">
        <v>197</v>
      </c>
      <c r="F61" s="8" t="s">
        <v>30</v>
      </c>
      <c r="G61" s="8" t="s">
        <v>31</v>
      </c>
      <c r="H61" s="8" t="s">
        <v>32</v>
      </c>
      <c r="I61" s="8" t="s">
        <v>76</v>
      </c>
      <c r="J61" s="8" t="s">
        <v>154</v>
      </c>
      <c r="K61" s="8" t="s">
        <v>122</v>
      </c>
      <c r="L61" s="8" t="s">
        <v>31</v>
      </c>
      <c r="M61" s="8">
        <v>197435</v>
      </c>
      <c r="N61" s="8">
        <v>19565</v>
      </c>
      <c r="O61" s="8">
        <v>0</v>
      </c>
      <c r="P61" s="8" t="s">
        <v>36</v>
      </c>
      <c r="Q61" s="8" t="s">
        <v>27</v>
      </c>
      <c r="R61" s="8" t="str">
        <f>VLOOKUP(B61,[1]Sheet2!$B$2:$D$91,3,FALSE)</f>
        <v>28</v>
      </c>
    </row>
    <row r="62" spans="1:18" ht="15.75" customHeight="1" x14ac:dyDescent="0.2">
      <c r="A62" s="7">
        <v>45967</v>
      </c>
      <c r="B62" s="8" t="s">
        <v>198</v>
      </c>
      <c r="C62" s="8" t="s">
        <v>199</v>
      </c>
      <c r="D62" s="8" t="s">
        <v>152</v>
      </c>
      <c r="E62" s="8" t="s">
        <v>200</v>
      </c>
      <c r="F62" s="8" t="s">
        <v>30</v>
      </c>
      <c r="G62" s="8" t="s">
        <v>31</v>
      </c>
      <c r="H62" s="8" t="s">
        <v>32</v>
      </c>
      <c r="I62" s="8" t="s">
        <v>76</v>
      </c>
      <c r="J62" s="8" t="s">
        <v>154</v>
      </c>
      <c r="K62" s="8" t="s">
        <v>122</v>
      </c>
      <c r="L62" s="8" t="s">
        <v>31</v>
      </c>
      <c r="M62" s="8">
        <v>2095198</v>
      </c>
      <c r="N62" s="8">
        <v>207632</v>
      </c>
      <c r="O62" s="8">
        <v>0</v>
      </c>
      <c r="P62" s="8" t="s">
        <v>36</v>
      </c>
      <c r="Q62" s="8" t="s">
        <v>27</v>
      </c>
      <c r="R62" s="8" t="str">
        <f>VLOOKUP(B62,[1]Sheet2!$B$2:$D$91,3,FALSE)</f>
        <v>28</v>
      </c>
    </row>
    <row r="63" spans="1:18" ht="15.75" customHeight="1" x14ac:dyDescent="0.2">
      <c r="A63" s="7">
        <v>45967</v>
      </c>
      <c r="B63" s="8" t="s">
        <v>201</v>
      </c>
      <c r="C63" s="8" t="s">
        <v>202</v>
      </c>
      <c r="D63" s="8" t="s">
        <v>152</v>
      </c>
      <c r="E63" s="8" t="s">
        <v>203</v>
      </c>
      <c r="F63" s="8" t="s">
        <v>30</v>
      </c>
      <c r="G63" s="8" t="s">
        <v>31</v>
      </c>
      <c r="H63" s="8" t="s">
        <v>32</v>
      </c>
      <c r="I63" s="8" t="s">
        <v>76</v>
      </c>
      <c r="J63" s="8" t="s">
        <v>154</v>
      </c>
      <c r="K63" s="8" t="s">
        <v>122</v>
      </c>
      <c r="L63" s="8" t="s">
        <v>31</v>
      </c>
      <c r="M63" s="8">
        <v>941626</v>
      </c>
      <c r="N63" s="8">
        <v>93314</v>
      </c>
      <c r="O63" s="8">
        <v>0</v>
      </c>
      <c r="P63" s="8" t="s">
        <v>36</v>
      </c>
      <c r="Q63" s="8" t="s">
        <v>27</v>
      </c>
      <c r="R63" s="8" t="str">
        <f>VLOOKUP(B63,[1]Sheet2!$B$2:$D$91,3,FALSE)</f>
        <v>28</v>
      </c>
    </row>
    <row r="64" spans="1:18" ht="15.75" customHeight="1" x14ac:dyDescent="0.2">
      <c r="A64" s="7">
        <v>45967</v>
      </c>
      <c r="B64" s="8" t="s">
        <v>204</v>
      </c>
      <c r="C64" s="8" t="s">
        <v>165</v>
      </c>
      <c r="D64" s="8" t="s">
        <v>152</v>
      </c>
      <c r="E64" s="8" t="s">
        <v>166</v>
      </c>
      <c r="F64" s="8" t="s">
        <v>30</v>
      </c>
      <c r="G64" s="8" t="s">
        <v>31</v>
      </c>
      <c r="H64" s="8" t="s">
        <v>32</v>
      </c>
      <c r="I64" s="8" t="s">
        <v>76</v>
      </c>
      <c r="J64" s="8" t="s">
        <v>91</v>
      </c>
      <c r="K64" s="8" t="s">
        <v>167</v>
      </c>
      <c r="L64" s="8" t="s">
        <v>31</v>
      </c>
      <c r="M64" s="8">
        <v>47452</v>
      </c>
      <c r="N64" s="8">
        <v>4702</v>
      </c>
      <c r="O64" s="8">
        <v>0</v>
      </c>
      <c r="P64" s="8" t="s">
        <v>36</v>
      </c>
      <c r="Q64" s="8" t="s">
        <v>27</v>
      </c>
      <c r="R64" s="8" t="str">
        <f>VLOOKUP(B64,[1]Sheet2!$B$2:$D$91,3,FALSE)</f>
        <v>26</v>
      </c>
    </row>
    <row r="65" spans="1:18" ht="15.75" customHeight="1" x14ac:dyDescent="0.2">
      <c r="A65" s="7">
        <v>45967</v>
      </c>
      <c r="B65" s="8" t="s">
        <v>205</v>
      </c>
      <c r="C65" s="8" t="s">
        <v>169</v>
      </c>
      <c r="D65" s="8" t="s">
        <v>152</v>
      </c>
      <c r="E65" s="8" t="s">
        <v>166</v>
      </c>
      <c r="F65" s="8" t="s">
        <v>30</v>
      </c>
      <c r="G65" s="8" t="s">
        <v>31</v>
      </c>
      <c r="H65" s="8" t="s">
        <v>32</v>
      </c>
      <c r="I65" s="8" t="s">
        <v>76</v>
      </c>
      <c r="J65" s="8" t="s">
        <v>91</v>
      </c>
      <c r="K65" s="8" t="s">
        <v>167</v>
      </c>
      <c r="L65" s="8" t="s">
        <v>31</v>
      </c>
      <c r="M65" s="8">
        <v>926295</v>
      </c>
      <c r="N65" s="8">
        <v>91795</v>
      </c>
      <c r="O65" s="8">
        <v>0</v>
      </c>
      <c r="P65" s="8" t="s">
        <v>36</v>
      </c>
      <c r="Q65" s="8" t="s">
        <v>27</v>
      </c>
      <c r="R65" s="8" t="str">
        <f>VLOOKUP(B65,[1]Sheet2!$B$2:$D$91,3,FALSE)</f>
        <v>26</v>
      </c>
    </row>
    <row r="66" spans="1:18" ht="15.75" customHeight="1" x14ac:dyDescent="0.2">
      <c r="A66" s="7">
        <v>45968</v>
      </c>
      <c r="B66" s="8" t="s">
        <v>206</v>
      </c>
      <c r="C66" s="8" t="s">
        <v>207</v>
      </c>
      <c r="D66" s="8" t="s">
        <v>152</v>
      </c>
      <c r="E66" s="8" t="s">
        <v>203</v>
      </c>
      <c r="F66" s="8" t="s">
        <v>30</v>
      </c>
      <c r="G66" s="8" t="s">
        <v>31</v>
      </c>
      <c r="H66" s="8" t="s">
        <v>32</v>
      </c>
      <c r="I66" s="8" t="s">
        <v>76</v>
      </c>
      <c r="J66" s="8" t="s">
        <v>154</v>
      </c>
      <c r="K66" s="8" t="s">
        <v>122</v>
      </c>
      <c r="L66" s="8" t="s">
        <v>31</v>
      </c>
      <c r="M66" s="8">
        <v>1078388</v>
      </c>
      <c r="N66" s="8">
        <v>106867</v>
      </c>
      <c r="O66" s="8">
        <v>0</v>
      </c>
      <c r="P66" s="8" t="s">
        <v>36</v>
      </c>
      <c r="Q66" s="8" t="s">
        <v>27</v>
      </c>
      <c r="R66" s="8" t="str">
        <f>VLOOKUP(B66,[1]Sheet2!$B$2:$D$91,3,FALSE)</f>
        <v>28</v>
      </c>
    </row>
    <row r="67" spans="1:18" ht="15.75" customHeight="1" x14ac:dyDescent="0.2">
      <c r="A67" s="7">
        <v>45968</v>
      </c>
      <c r="B67" s="8" t="s">
        <v>208</v>
      </c>
      <c r="C67" s="8" t="s">
        <v>209</v>
      </c>
      <c r="D67" s="8" t="s">
        <v>152</v>
      </c>
      <c r="E67" s="8" t="s">
        <v>194</v>
      </c>
      <c r="F67" s="8" t="s">
        <v>30</v>
      </c>
      <c r="G67" s="8" t="s">
        <v>31</v>
      </c>
      <c r="H67" s="8" t="s">
        <v>32</v>
      </c>
      <c r="I67" s="8" t="s">
        <v>76</v>
      </c>
      <c r="J67" s="8" t="s">
        <v>154</v>
      </c>
      <c r="K67" s="8" t="s">
        <v>122</v>
      </c>
      <c r="L67" s="8" t="s">
        <v>31</v>
      </c>
      <c r="M67" s="8">
        <v>402050</v>
      </c>
      <c r="N67" s="8">
        <v>39842</v>
      </c>
      <c r="O67" s="8">
        <v>0</v>
      </c>
      <c r="P67" s="8" t="s">
        <v>36</v>
      </c>
      <c r="Q67" s="8" t="s">
        <v>27</v>
      </c>
      <c r="R67" s="8" t="str">
        <f>VLOOKUP(B67,[1]Sheet2!$B$2:$D$91,3,FALSE)</f>
        <v>28</v>
      </c>
    </row>
    <row r="68" spans="1:18" ht="15.75" customHeight="1" x14ac:dyDescent="0.2">
      <c r="A68" s="7">
        <v>45968</v>
      </c>
      <c r="B68" s="8" t="s">
        <v>210</v>
      </c>
      <c r="C68" s="8" t="s">
        <v>177</v>
      </c>
      <c r="D68" s="8" t="s">
        <v>152</v>
      </c>
      <c r="E68" s="8" t="s">
        <v>172</v>
      </c>
      <c r="F68" s="8" t="s">
        <v>30</v>
      </c>
      <c r="G68" s="8" t="s">
        <v>31</v>
      </c>
      <c r="H68" s="8" t="s">
        <v>32</v>
      </c>
      <c r="I68" s="8" t="s">
        <v>76</v>
      </c>
      <c r="J68" s="8" t="s">
        <v>103</v>
      </c>
      <c r="K68" s="8" t="s">
        <v>173</v>
      </c>
      <c r="L68" s="8" t="s">
        <v>31</v>
      </c>
      <c r="M68" s="8">
        <v>1864800</v>
      </c>
      <c r="N68" s="8">
        <v>184800</v>
      </c>
      <c r="O68" s="8">
        <v>0</v>
      </c>
      <c r="P68" s="8" t="s">
        <v>36</v>
      </c>
      <c r="Q68" s="8" t="s">
        <v>27</v>
      </c>
      <c r="R68" s="8" t="str">
        <f>VLOOKUP(B68,[1]Sheet2!$B$2:$D$91,3,FALSE)</f>
        <v>26</v>
      </c>
    </row>
    <row r="69" spans="1:18" ht="15.75" customHeight="1" x14ac:dyDescent="0.2">
      <c r="A69" s="7">
        <v>45968</v>
      </c>
      <c r="B69" s="8" t="s">
        <v>211</v>
      </c>
      <c r="C69" s="8" t="s">
        <v>212</v>
      </c>
      <c r="D69" s="8" t="s">
        <v>152</v>
      </c>
      <c r="E69" s="8" t="s">
        <v>172</v>
      </c>
      <c r="F69" s="8" t="s">
        <v>30</v>
      </c>
      <c r="G69" s="8" t="s">
        <v>31</v>
      </c>
      <c r="H69" s="8" t="s">
        <v>32</v>
      </c>
      <c r="I69" s="8" t="s">
        <v>76</v>
      </c>
      <c r="J69" s="8" t="s">
        <v>103</v>
      </c>
      <c r="K69" s="8" t="s">
        <v>173</v>
      </c>
      <c r="L69" s="8" t="s">
        <v>31</v>
      </c>
      <c r="M69" s="8">
        <v>555000</v>
      </c>
      <c r="N69" s="8">
        <v>55000</v>
      </c>
      <c r="O69" s="8">
        <v>0</v>
      </c>
      <c r="P69" s="8" t="s">
        <v>36</v>
      </c>
      <c r="Q69" s="8" t="s">
        <v>27</v>
      </c>
      <c r="R69" s="8" t="str">
        <f>VLOOKUP(B69,[1]Sheet2!$B$2:$D$91,3,FALSE)</f>
        <v>26</v>
      </c>
    </row>
    <row r="70" spans="1:18" ht="15.75" customHeight="1" x14ac:dyDescent="0.2">
      <c r="A70" s="7">
        <v>45968</v>
      </c>
      <c r="B70" s="8" t="s">
        <v>213</v>
      </c>
      <c r="C70" s="8" t="s">
        <v>177</v>
      </c>
      <c r="D70" s="8" t="s">
        <v>152</v>
      </c>
      <c r="E70" s="8" t="s">
        <v>172</v>
      </c>
      <c r="F70" s="8" t="s">
        <v>30</v>
      </c>
      <c r="G70" s="8" t="s">
        <v>31</v>
      </c>
      <c r="H70" s="8" t="s">
        <v>32</v>
      </c>
      <c r="I70" s="8" t="s">
        <v>76</v>
      </c>
      <c r="J70" s="8" t="s">
        <v>103</v>
      </c>
      <c r="K70" s="8" t="s">
        <v>173</v>
      </c>
      <c r="L70" s="8" t="s">
        <v>31</v>
      </c>
      <c r="M70" s="8">
        <v>532800</v>
      </c>
      <c r="N70" s="8">
        <v>52800</v>
      </c>
      <c r="O70" s="8">
        <v>0</v>
      </c>
      <c r="P70" s="8" t="s">
        <v>36</v>
      </c>
      <c r="Q70" s="8" t="s">
        <v>27</v>
      </c>
      <c r="R70" s="8" t="str">
        <f>VLOOKUP(B70,[1]Sheet2!$B$2:$D$91,3,FALSE)</f>
        <v>26</v>
      </c>
    </row>
    <row r="71" spans="1:18" ht="15.75" customHeight="1" x14ac:dyDescent="0.2">
      <c r="A71" s="7">
        <v>45968</v>
      </c>
      <c r="B71" s="8" t="s">
        <v>214</v>
      </c>
      <c r="C71" s="8" t="s">
        <v>171</v>
      </c>
      <c r="D71" s="8" t="s">
        <v>152</v>
      </c>
      <c r="E71" s="8" t="s">
        <v>172</v>
      </c>
      <c r="F71" s="8" t="s">
        <v>30</v>
      </c>
      <c r="G71" s="8" t="s">
        <v>31</v>
      </c>
      <c r="H71" s="8" t="s">
        <v>32</v>
      </c>
      <c r="I71" s="8" t="s">
        <v>76</v>
      </c>
      <c r="J71" s="8" t="s">
        <v>103</v>
      </c>
      <c r="K71" s="8" t="s">
        <v>173</v>
      </c>
      <c r="L71" s="8" t="s">
        <v>31</v>
      </c>
      <c r="M71" s="8">
        <v>1010100</v>
      </c>
      <c r="N71" s="8">
        <v>100100</v>
      </c>
      <c r="O71" s="8">
        <v>0</v>
      </c>
      <c r="P71" s="8" t="s">
        <v>36</v>
      </c>
      <c r="Q71" s="8" t="s">
        <v>27</v>
      </c>
      <c r="R71" s="8" t="str">
        <f>VLOOKUP(B71,[1]Sheet2!$B$2:$D$91,3,FALSE)</f>
        <v>26</v>
      </c>
    </row>
    <row r="72" spans="1:18" ht="15.75" customHeight="1" x14ac:dyDescent="0.2">
      <c r="A72" s="7">
        <v>45968</v>
      </c>
      <c r="B72" s="8" t="s">
        <v>215</v>
      </c>
      <c r="C72" s="8" t="s">
        <v>212</v>
      </c>
      <c r="D72" s="8" t="s">
        <v>152</v>
      </c>
      <c r="E72" s="8" t="s">
        <v>172</v>
      </c>
      <c r="F72" s="8" t="s">
        <v>30</v>
      </c>
      <c r="G72" s="8" t="s">
        <v>31</v>
      </c>
      <c r="H72" s="8" t="s">
        <v>32</v>
      </c>
      <c r="I72" s="8" t="s">
        <v>76</v>
      </c>
      <c r="J72" s="8" t="s">
        <v>103</v>
      </c>
      <c r="K72" s="8" t="s">
        <v>173</v>
      </c>
      <c r="L72" s="8" t="s">
        <v>31</v>
      </c>
      <c r="M72" s="8">
        <v>138750</v>
      </c>
      <c r="N72" s="8">
        <v>13750</v>
      </c>
      <c r="O72" s="8">
        <v>0</v>
      </c>
      <c r="P72" s="8" t="s">
        <v>36</v>
      </c>
      <c r="Q72" s="8" t="s">
        <v>27</v>
      </c>
      <c r="R72" s="8" t="str">
        <f>VLOOKUP(B72,[1]Sheet2!$B$2:$D$91,3,FALSE)</f>
        <v>26</v>
      </c>
    </row>
    <row r="73" spans="1:18" ht="15.75" customHeight="1" x14ac:dyDescent="0.2">
      <c r="A73" s="7">
        <v>45968</v>
      </c>
      <c r="B73" s="8" t="s">
        <v>216</v>
      </c>
      <c r="C73" s="8" t="s">
        <v>217</v>
      </c>
      <c r="D73" s="8" t="s">
        <v>152</v>
      </c>
      <c r="E73" s="8" t="s">
        <v>172</v>
      </c>
      <c r="F73" s="8" t="s">
        <v>30</v>
      </c>
      <c r="G73" s="8" t="s">
        <v>31</v>
      </c>
      <c r="H73" s="8" t="s">
        <v>32</v>
      </c>
      <c r="I73" s="8" t="s">
        <v>76</v>
      </c>
      <c r="J73" s="8" t="s">
        <v>103</v>
      </c>
      <c r="K73" s="8" t="s">
        <v>173</v>
      </c>
      <c r="L73" s="8" t="s">
        <v>31</v>
      </c>
      <c r="M73" s="8">
        <v>111055</v>
      </c>
      <c r="N73" s="8">
        <v>11005</v>
      </c>
      <c r="O73" s="8">
        <v>0</v>
      </c>
      <c r="P73" s="8" t="s">
        <v>36</v>
      </c>
      <c r="Q73" s="8" t="s">
        <v>27</v>
      </c>
      <c r="R73" s="8" t="str">
        <f>VLOOKUP(B73,[1]Sheet2!$B$2:$D$91,3,FALSE)</f>
        <v>26</v>
      </c>
    </row>
    <row r="74" spans="1:18" ht="15.75" customHeight="1" x14ac:dyDescent="0.2">
      <c r="A74" s="7">
        <v>45968</v>
      </c>
      <c r="B74" s="8" t="s">
        <v>218</v>
      </c>
      <c r="C74" s="8" t="s">
        <v>171</v>
      </c>
      <c r="D74" s="8" t="s">
        <v>152</v>
      </c>
      <c r="E74" s="8" t="s">
        <v>172</v>
      </c>
      <c r="F74" s="8" t="s">
        <v>30</v>
      </c>
      <c r="G74" s="8" t="s">
        <v>31</v>
      </c>
      <c r="H74" s="8" t="s">
        <v>32</v>
      </c>
      <c r="I74" s="8" t="s">
        <v>76</v>
      </c>
      <c r="J74" s="8" t="s">
        <v>103</v>
      </c>
      <c r="K74" s="8" t="s">
        <v>173</v>
      </c>
      <c r="L74" s="8" t="s">
        <v>31</v>
      </c>
      <c r="M74" s="8">
        <v>144300</v>
      </c>
      <c r="N74" s="8">
        <v>14300</v>
      </c>
      <c r="O74" s="8">
        <v>0</v>
      </c>
      <c r="P74" s="8" t="s">
        <v>36</v>
      </c>
      <c r="Q74" s="8" t="s">
        <v>27</v>
      </c>
      <c r="R74" s="8" t="str">
        <f>VLOOKUP(B74,[1]Sheet2!$B$2:$D$91,3,FALSE)</f>
        <v>26</v>
      </c>
    </row>
    <row r="75" spans="1:18" ht="15.75" customHeight="1" x14ac:dyDescent="0.2">
      <c r="A75" s="7">
        <v>45968</v>
      </c>
      <c r="B75" s="8" t="s">
        <v>219</v>
      </c>
      <c r="C75" s="8" t="s">
        <v>220</v>
      </c>
      <c r="D75" s="8" t="s">
        <v>152</v>
      </c>
      <c r="E75" s="8" t="s">
        <v>172</v>
      </c>
      <c r="F75" s="8" t="s">
        <v>75</v>
      </c>
      <c r="G75" s="8" t="s">
        <v>31</v>
      </c>
      <c r="H75" s="8" t="s">
        <v>32</v>
      </c>
      <c r="I75" s="8" t="s">
        <v>76</v>
      </c>
      <c r="J75" s="8" t="s">
        <v>221</v>
      </c>
      <c r="K75" s="8" t="s">
        <v>222</v>
      </c>
      <c r="L75" s="8" t="s">
        <v>31</v>
      </c>
      <c r="M75" s="8">
        <v>104895</v>
      </c>
      <c r="N75" s="8">
        <v>10395</v>
      </c>
      <c r="O75" s="8">
        <v>0</v>
      </c>
      <c r="P75" s="8" t="s">
        <v>36</v>
      </c>
      <c r="Q75" s="8" t="s">
        <v>27</v>
      </c>
      <c r="R75" s="8" t="str">
        <f>VLOOKUP(B75,[1]Sheet2!$B$2:$D$91,3,FALSE)</f>
        <v>26</v>
      </c>
    </row>
    <row r="76" spans="1:18" ht="15.75" customHeight="1" x14ac:dyDescent="0.2">
      <c r="A76" s="7">
        <v>45969</v>
      </c>
      <c r="B76" s="8" t="s">
        <v>223</v>
      </c>
      <c r="C76" s="8" t="s">
        <v>27</v>
      </c>
      <c r="D76" s="8" t="s">
        <v>152</v>
      </c>
      <c r="E76" s="8" t="s">
        <v>172</v>
      </c>
      <c r="F76" s="8" t="s">
        <v>30</v>
      </c>
      <c r="G76" s="8" t="s">
        <v>31</v>
      </c>
      <c r="H76" s="8" t="s">
        <v>32</v>
      </c>
      <c r="I76" s="8" t="s">
        <v>76</v>
      </c>
      <c r="J76" s="8" t="s">
        <v>103</v>
      </c>
      <c r="K76" s="8" t="s">
        <v>173</v>
      </c>
      <c r="L76" s="8" t="s">
        <v>31</v>
      </c>
      <c r="M76" s="8">
        <v>2024640</v>
      </c>
      <c r="N76" s="8">
        <v>200640</v>
      </c>
      <c r="O76" s="8">
        <v>0</v>
      </c>
      <c r="P76" s="8" t="s">
        <v>36</v>
      </c>
      <c r="Q76" s="8" t="s">
        <v>27</v>
      </c>
      <c r="R76" s="8" t="str">
        <f>VLOOKUP(B76,[1]Sheet2!$B$2:$D$91,3,FALSE)</f>
        <v>26</v>
      </c>
    </row>
    <row r="77" spans="1:18" ht="15.75" customHeight="1" x14ac:dyDescent="0.2">
      <c r="A77" s="7">
        <v>45969</v>
      </c>
      <c r="B77" s="8" t="s">
        <v>224</v>
      </c>
      <c r="C77" s="8" t="s">
        <v>27</v>
      </c>
      <c r="D77" s="8" t="s">
        <v>152</v>
      </c>
      <c r="E77" s="8" t="s">
        <v>225</v>
      </c>
      <c r="F77" s="8" t="s">
        <v>30</v>
      </c>
      <c r="G77" s="8" t="s">
        <v>31</v>
      </c>
      <c r="H77" s="8" t="s">
        <v>32</v>
      </c>
      <c r="I77" s="8" t="s">
        <v>39</v>
      </c>
      <c r="J77" s="8" t="s">
        <v>226</v>
      </c>
      <c r="K77" s="8" t="s">
        <v>227</v>
      </c>
      <c r="L77" s="8" t="s">
        <v>31</v>
      </c>
      <c r="M77" s="8">
        <v>133200</v>
      </c>
      <c r="N77" s="8">
        <v>13200</v>
      </c>
      <c r="O77" s="8">
        <v>0</v>
      </c>
      <c r="P77" s="8" t="s">
        <v>36</v>
      </c>
      <c r="Q77" s="8" t="s">
        <v>27</v>
      </c>
      <c r="R77" s="8" t="str">
        <f>VLOOKUP(B77,[1]Sheet2!$B$2:$D$91,3,FALSE)</f>
        <v>25</v>
      </c>
    </row>
    <row r="78" spans="1:18" ht="15.75" customHeight="1" x14ac:dyDescent="0.2">
      <c r="A78" s="7">
        <v>45971</v>
      </c>
      <c r="B78" s="8" t="s">
        <v>228</v>
      </c>
      <c r="C78" s="8" t="s">
        <v>229</v>
      </c>
      <c r="D78" s="8" t="s">
        <v>152</v>
      </c>
      <c r="E78" s="8" t="s">
        <v>230</v>
      </c>
      <c r="F78" s="8" t="s">
        <v>30</v>
      </c>
      <c r="G78" s="8" t="s">
        <v>31</v>
      </c>
      <c r="H78" s="8" t="s">
        <v>32</v>
      </c>
      <c r="I78" s="8" t="s">
        <v>76</v>
      </c>
      <c r="J78" s="8" t="s">
        <v>154</v>
      </c>
      <c r="K78" s="8" t="s">
        <v>122</v>
      </c>
      <c r="L78" s="8" t="s">
        <v>31</v>
      </c>
      <c r="M78" s="8">
        <v>197435</v>
      </c>
      <c r="N78" s="8">
        <v>19565</v>
      </c>
      <c r="O78" s="8">
        <v>0</v>
      </c>
      <c r="P78" s="8" t="s">
        <v>36</v>
      </c>
      <c r="Q78" s="8" t="s">
        <v>27</v>
      </c>
      <c r="R78" s="8" t="str">
        <f>VLOOKUP(B78,[1]Sheet2!$B$2:$D$91,3,FALSE)</f>
        <v>28</v>
      </c>
    </row>
    <row r="79" spans="1:18" ht="15.75" customHeight="1" x14ac:dyDescent="0.2">
      <c r="A79" s="7">
        <v>45971</v>
      </c>
      <c r="B79" s="8" t="s">
        <v>231</v>
      </c>
      <c r="C79" s="8" t="s">
        <v>232</v>
      </c>
      <c r="D79" s="8" t="s">
        <v>152</v>
      </c>
      <c r="E79" s="8" t="s">
        <v>233</v>
      </c>
      <c r="F79" s="8" t="s">
        <v>30</v>
      </c>
      <c r="G79" s="8" t="s">
        <v>31</v>
      </c>
      <c r="H79" s="8" t="s">
        <v>32</v>
      </c>
      <c r="I79" s="8" t="s">
        <v>76</v>
      </c>
      <c r="J79" s="8" t="s">
        <v>154</v>
      </c>
      <c r="K79" s="8" t="s">
        <v>122</v>
      </c>
      <c r="L79" s="8" t="s">
        <v>31</v>
      </c>
      <c r="M79" s="8">
        <v>197435</v>
      </c>
      <c r="N79" s="8">
        <v>19565</v>
      </c>
      <c r="O79" s="8">
        <v>0</v>
      </c>
      <c r="P79" s="8" t="s">
        <v>36</v>
      </c>
      <c r="Q79" s="8" t="s">
        <v>27</v>
      </c>
      <c r="R79" s="8" t="str">
        <f>VLOOKUP(B79,[1]Sheet2!$B$2:$D$91,3,FALSE)</f>
        <v>28</v>
      </c>
    </row>
    <row r="80" spans="1:18" ht="15.75" customHeight="1" x14ac:dyDescent="0.2">
      <c r="A80" s="7">
        <v>45971</v>
      </c>
      <c r="B80" s="8" t="s">
        <v>234</v>
      </c>
      <c r="C80" s="8" t="s">
        <v>235</v>
      </c>
      <c r="D80" s="8" t="s">
        <v>152</v>
      </c>
      <c r="E80" s="8" t="s">
        <v>236</v>
      </c>
      <c r="F80" s="8" t="s">
        <v>30</v>
      </c>
      <c r="G80" s="8" t="s">
        <v>31</v>
      </c>
      <c r="H80" s="8" t="s">
        <v>32</v>
      </c>
      <c r="I80" s="8" t="s">
        <v>76</v>
      </c>
      <c r="J80" s="8" t="s">
        <v>154</v>
      </c>
      <c r="K80" s="8" t="s">
        <v>122</v>
      </c>
      <c r="L80" s="8" t="s">
        <v>31</v>
      </c>
      <c r="M80" s="8">
        <v>308726</v>
      </c>
      <c r="N80" s="8">
        <v>30594</v>
      </c>
      <c r="O80" s="8">
        <v>0</v>
      </c>
      <c r="P80" s="8" t="s">
        <v>36</v>
      </c>
      <c r="Q80" s="8" t="s">
        <v>27</v>
      </c>
      <c r="R80" s="8" t="str">
        <f>VLOOKUP(B80,[1]Sheet2!$B$2:$D$91,3,FALSE)</f>
        <v>26</v>
      </c>
    </row>
    <row r="81" spans="1:18" ht="15.75" customHeight="1" x14ac:dyDescent="0.2">
      <c r="A81" s="7">
        <v>45971</v>
      </c>
      <c r="B81" s="8" t="s">
        <v>237</v>
      </c>
      <c r="C81" s="8" t="s">
        <v>184</v>
      </c>
      <c r="D81" s="8" t="s">
        <v>152</v>
      </c>
      <c r="E81" s="8" t="s">
        <v>172</v>
      </c>
      <c r="F81" s="8" t="s">
        <v>30</v>
      </c>
      <c r="G81" s="8" t="s">
        <v>31</v>
      </c>
      <c r="H81" s="8" t="s">
        <v>32</v>
      </c>
      <c r="I81" s="8" t="s">
        <v>76</v>
      </c>
      <c r="J81" s="8" t="s">
        <v>103</v>
      </c>
      <c r="K81" s="8" t="s">
        <v>173</v>
      </c>
      <c r="L81" s="8" t="s">
        <v>31</v>
      </c>
      <c r="M81" s="8">
        <v>31635</v>
      </c>
      <c r="N81" s="8">
        <v>3135</v>
      </c>
      <c r="O81" s="8">
        <v>0</v>
      </c>
      <c r="P81" s="8" t="s">
        <v>36</v>
      </c>
      <c r="Q81" s="8" t="s">
        <v>27</v>
      </c>
      <c r="R81" s="8" t="str">
        <f>VLOOKUP(B81,[1]Sheet2!$B$2:$D$91,3,FALSE)</f>
        <v>26</v>
      </c>
    </row>
    <row r="82" spans="1:18" ht="15.75" customHeight="1" x14ac:dyDescent="0.2">
      <c r="A82" s="7">
        <v>45971</v>
      </c>
      <c r="B82" s="8" t="s">
        <v>238</v>
      </c>
      <c r="C82" s="8" t="s">
        <v>239</v>
      </c>
      <c r="D82" s="8" t="s">
        <v>152</v>
      </c>
      <c r="E82" s="8" t="s">
        <v>191</v>
      </c>
      <c r="F82" s="8" t="s">
        <v>30</v>
      </c>
      <c r="G82" s="8" t="s">
        <v>31</v>
      </c>
      <c r="H82" s="8" t="s">
        <v>32</v>
      </c>
      <c r="I82" s="8" t="s">
        <v>76</v>
      </c>
      <c r="J82" s="8" t="s">
        <v>154</v>
      </c>
      <c r="K82" s="8" t="s">
        <v>122</v>
      </c>
      <c r="L82" s="8" t="s">
        <v>31</v>
      </c>
      <c r="M82" s="8">
        <v>380512</v>
      </c>
      <c r="N82" s="8">
        <v>37708</v>
      </c>
      <c r="O82" s="8">
        <v>0</v>
      </c>
      <c r="P82" s="8" t="s">
        <v>36</v>
      </c>
      <c r="Q82" s="8" t="s">
        <v>27</v>
      </c>
      <c r="R82" s="8" t="str">
        <f>VLOOKUP(B82,[1]Sheet2!$B$2:$D$91,3,FALSE)</f>
        <v>28</v>
      </c>
    </row>
    <row r="83" spans="1:18" ht="15.75" customHeight="1" x14ac:dyDescent="0.2">
      <c r="A83" s="7">
        <v>45972</v>
      </c>
      <c r="B83" s="8" t="s">
        <v>240</v>
      </c>
      <c r="C83" s="8" t="s">
        <v>241</v>
      </c>
      <c r="D83" s="8" t="s">
        <v>152</v>
      </c>
      <c r="E83" s="8" t="s">
        <v>172</v>
      </c>
      <c r="F83" s="8" t="s">
        <v>30</v>
      </c>
      <c r="G83" s="8" t="s">
        <v>31</v>
      </c>
      <c r="H83" s="8" t="s">
        <v>32</v>
      </c>
      <c r="I83" s="8" t="s">
        <v>76</v>
      </c>
      <c r="J83" s="8" t="s">
        <v>103</v>
      </c>
      <c r="K83" s="8" t="s">
        <v>173</v>
      </c>
      <c r="L83" s="8" t="s">
        <v>31</v>
      </c>
      <c r="M83" s="8">
        <v>109890</v>
      </c>
      <c r="N83" s="8">
        <v>10890</v>
      </c>
      <c r="O83" s="8">
        <v>0</v>
      </c>
      <c r="P83" s="8" t="s">
        <v>36</v>
      </c>
      <c r="Q83" s="8" t="s">
        <v>27</v>
      </c>
      <c r="R83" s="8" t="str">
        <f>VLOOKUP(B83,[1]Sheet2!$B$2:$D$91,3,FALSE)</f>
        <v>26</v>
      </c>
    </row>
    <row r="84" spans="1:18" ht="15.75" customHeight="1" x14ac:dyDescent="0.2">
      <c r="A84" s="7">
        <v>45972</v>
      </c>
      <c r="B84" s="8" t="s">
        <v>242</v>
      </c>
      <c r="C84" s="8" t="s">
        <v>27</v>
      </c>
      <c r="D84" s="8" t="s">
        <v>152</v>
      </c>
      <c r="E84" s="8" t="s">
        <v>172</v>
      </c>
      <c r="F84" s="8" t="s">
        <v>30</v>
      </c>
      <c r="G84" s="8" t="s">
        <v>31</v>
      </c>
      <c r="H84" s="8" t="s">
        <v>32</v>
      </c>
      <c r="I84" s="8" t="s">
        <v>76</v>
      </c>
      <c r="J84" s="8" t="s">
        <v>103</v>
      </c>
      <c r="K84" s="8" t="s">
        <v>173</v>
      </c>
      <c r="L84" s="8" t="s">
        <v>31</v>
      </c>
      <c r="M84" s="8">
        <v>430015</v>
      </c>
      <c r="N84" s="8">
        <v>42614</v>
      </c>
      <c r="O84" s="8">
        <v>0</v>
      </c>
      <c r="P84" s="8" t="s">
        <v>36</v>
      </c>
      <c r="Q84" s="8" t="s">
        <v>27</v>
      </c>
      <c r="R84" s="8" t="str">
        <f>VLOOKUP(B84,[1]Sheet2!$B$2:$D$91,3,FALSE)</f>
        <v>26</v>
      </c>
    </row>
    <row r="85" spans="1:18" ht="15.75" customHeight="1" x14ac:dyDescent="0.2">
      <c r="A85" s="7">
        <v>45972</v>
      </c>
      <c r="B85" s="8" t="s">
        <v>243</v>
      </c>
      <c r="C85" s="8" t="s">
        <v>212</v>
      </c>
      <c r="D85" s="8" t="s">
        <v>152</v>
      </c>
      <c r="E85" s="8" t="s">
        <v>172</v>
      </c>
      <c r="F85" s="8" t="s">
        <v>30</v>
      </c>
      <c r="G85" s="8" t="s">
        <v>31</v>
      </c>
      <c r="H85" s="8" t="s">
        <v>32</v>
      </c>
      <c r="I85" s="8" t="s">
        <v>76</v>
      </c>
      <c r="J85" s="8" t="s">
        <v>103</v>
      </c>
      <c r="K85" s="8" t="s">
        <v>173</v>
      </c>
      <c r="L85" s="8" t="s">
        <v>31</v>
      </c>
      <c r="M85" s="8">
        <v>138750</v>
      </c>
      <c r="N85" s="8">
        <v>13750</v>
      </c>
      <c r="O85" s="8">
        <v>0</v>
      </c>
      <c r="P85" s="8" t="s">
        <v>36</v>
      </c>
      <c r="Q85" s="8" t="s">
        <v>27</v>
      </c>
      <c r="R85" s="8" t="str">
        <f>VLOOKUP(B85,[1]Sheet2!$B$2:$D$91,3,FALSE)</f>
        <v>26</v>
      </c>
    </row>
    <row r="86" spans="1:18" ht="15.75" customHeight="1" x14ac:dyDescent="0.2">
      <c r="A86" s="7">
        <v>45972</v>
      </c>
      <c r="B86" s="8" t="s">
        <v>244</v>
      </c>
      <c r="C86" s="8" t="s">
        <v>179</v>
      </c>
      <c r="D86" s="8" t="s">
        <v>152</v>
      </c>
      <c r="E86" s="8" t="s">
        <v>172</v>
      </c>
      <c r="F86" s="8" t="s">
        <v>30</v>
      </c>
      <c r="G86" s="8" t="s">
        <v>31</v>
      </c>
      <c r="H86" s="8" t="s">
        <v>32</v>
      </c>
      <c r="I86" s="8" t="s">
        <v>76</v>
      </c>
      <c r="J86" s="8" t="s">
        <v>103</v>
      </c>
      <c r="K86" s="8" t="s">
        <v>173</v>
      </c>
      <c r="L86" s="8" t="s">
        <v>31</v>
      </c>
      <c r="M86" s="8">
        <v>639360</v>
      </c>
      <c r="N86" s="8">
        <v>63360</v>
      </c>
      <c r="O86" s="8">
        <v>0</v>
      </c>
      <c r="P86" s="8" t="s">
        <v>36</v>
      </c>
      <c r="Q86" s="8" t="s">
        <v>27</v>
      </c>
      <c r="R86" s="8" t="str">
        <f>VLOOKUP(B86,[1]Sheet2!$B$2:$D$91,3,FALSE)</f>
        <v>26</v>
      </c>
    </row>
    <row r="87" spans="1:18" ht="15.75" customHeight="1" x14ac:dyDescent="0.2">
      <c r="A87" s="7">
        <v>45972</v>
      </c>
      <c r="B87" s="8" t="s">
        <v>245</v>
      </c>
      <c r="C87" s="8" t="s">
        <v>212</v>
      </c>
      <c r="D87" s="8" t="s">
        <v>152</v>
      </c>
      <c r="E87" s="8" t="s">
        <v>172</v>
      </c>
      <c r="F87" s="8" t="s">
        <v>30</v>
      </c>
      <c r="G87" s="8" t="s">
        <v>31</v>
      </c>
      <c r="H87" s="8" t="s">
        <v>32</v>
      </c>
      <c r="I87" s="8" t="s">
        <v>76</v>
      </c>
      <c r="J87" s="8" t="s">
        <v>103</v>
      </c>
      <c r="K87" s="8" t="s">
        <v>173</v>
      </c>
      <c r="L87" s="8" t="s">
        <v>31</v>
      </c>
      <c r="M87" s="8">
        <v>2150625</v>
      </c>
      <c r="N87" s="8">
        <v>213125</v>
      </c>
      <c r="O87" s="8">
        <v>0</v>
      </c>
      <c r="P87" s="8" t="s">
        <v>36</v>
      </c>
      <c r="Q87" s="8" t="s">
        <v>27</v>
      </c>
      <c r="R87" s="8" t="str">
        <f>VLOOKUP(B87,[1]Sheet2!$B$2:$D$91,3,FALSE)</f>
        <v>26</v>
      </c>
    </row>
    <row r="88" spans="1:18" ht="15.75" customHeight="1" x14ac:dyDescent="0.2">
      <c r="A88" s="7">
        <v>45972</v>
      </c>
      <c r="B88" s="8" t="s">
        <v>246</v>
      </c>
      <c r="C88" s="8" t="s">
        <v>247</v>
      </c>
      <c r="D88" s="8" t="s">
        <v>152</v>
      </c>
      <c r="E88" s="8" t="s">
        <v>172</v>
      </c>
      <c r="F88" s="8" t="s">
        <v>30</v>
      </c>
      <c r="G88" s="8" t="s">
        <v>31</v>
      </c>
      <c r="H88" s="8" t="s">
        <v>32</v>
      </c>
      <c r="I88" s="8" t="s">
        <v>76</v>
      </c>
      <c r="J88" s="8" t="s">
        <v>103</v>
      </c>
      <c r="K88" s="8" t="s">
        <v>173</v>
      </c>
      <c r="L88" s="8" t="s">
        <v>31</v>
      </c>
      <c r="M88" s="8">
        <v>222027</v>
      </c>
      <c r="N88" s="8">
        <v>22002</v>
      </c>
      <c r="O88" s="8">
        <v>0</v>
      </c>
      <c r="P88" s="8" t="s">
        <v>36</v>
      </c>
      <c r="Q88" s="8" t="s">
        <v>27</v>
      </c>
      <c r="R88" s="8" t="str">
        <f>VLOOKUP(B88,[1]Sheet2!$B$2:$D$91,3,FALSE)</f>
        <v>26</v>
      </c>
    </row>
    <row r="89" spans="1:18" ht="15.75" customHeight="1" x14ac:dyDescent="0.2">
      <c r="A89" s="7">
        <v>45972</v>
      </c>
      <c r="B89" s="8" t="s">
        <v>248</v>
      </c>
      <c r="C89" s="8" t="s">
        <v>171</v>
      </c>
      <c r="D89" s="8" t="s">
        <v>152</v>
      </c>
      <c r="E89" s="8" t="s">
        <v>172</v>
      </c>
      <c r="F89" s="8" t="s">
        <v>30</v>
      </c>
      <c r="G89" s="8" t="s">
        <v>31</v>
      </c>
      <c r="H89" s="8" t="s">
        <v>32</v>
      </c>
      <c r="I89" s="8" t="s">
        <v>76</v>
      </c>
      <c r="J89" s="8" t="s">
        <v>103</v>
      </c>
      <c r="K89" s="8" t="s">
        <v>173</v>
      </c>
      <c r="L89" s="8" t="s">
        <v>31</v>
      </c>
      <c r="M89" s="8">
        <v>394605</v>
      </c>
      <c r="N89" s="8">
        <v>39105</v>
      </c>
      <c r="O89" s="8">
        <v>0</v>
      </c>
      <c r="P89" s="8" t="s">
        <v>36</v>
      </c>
      <c r="Q89" s="8" t="s">
        <v>27</v>
      </c>
      <c r="R89" s="8" t="str">
        <f>VLOOKUP(B89,[1]Sheet2!$B$2:$D$91,3,FALSE)</f>
        <v>26</v>
      </c>
    </row>
    <row r="90" spans="1:18" ht="15.75" customHeight="1" x14ac:dyDescent="0.2">
      <c r="A90" s="7">
        <v>45972</v>
      </c>
      <c r="B90" s="8" t="s">
        <v>249</v>
      </c>
      <c r="C90" s="8" t="s">
        <v>250</v>
      </c>
      <c r="D90" s="8" t="s">
        <v>152</v>
      </c>
      <c r="E90" s="8" t="s">
        <v>172</v>
      </c>
      <c r="F90" s="8" t="s">
        <v>75</v>
      </c>
      <c r="G90" s="8" t="s">
        <v>31</v>
      </c>
      <c r="H90" s="8" t="s">
        <v>32</v>
      </c>
      <c r="I90" s="8" t="s">
        <v>76</v>
      </c>
      <c r="J90" s="8" t="s">
        <v>221</v>
      </c>
      <c r="K90" s="8" t="s">
        <v>222</v>
      </c>
      <c r="L90" s="8" t="s">
        <v>31</v>
      </c>
      <c r="M90" s="8">
        <v>224775</v>
      </c>
      <c r="N90" s="8">
        <v>22275</v>
      </c>
      <c r="O90" s="8">
        <v>0</v>
      </c>
      <c r="P90" s="8" t="s">
        <v>36</v>
      </c>
      <c r="Q90" s="8" t="s">
        <v>27</v>
      </c>
      <c r="R90" s="8" t="str">
        <f>VLOOKUP(B90,[1]Sheet2!$B$2:$D$91,3,FALSE)</f>
        <v>26</v>
      </c>
    </row>
    <row r="91" spans="1:18" ht="15.75" customHeight="1" x14ac:dyDescent="0.2">
      <c r="A91" s="7">
        <v>45974</v>
      </c>
      <c r="B91" s="8" t="s">
        <v>251</v>
      </c>
      <c r="C91" s="8" t="s">
        <v>27</v>
      </c>
      <c r="D91" s="8" t="s">
        <v>152</v>
      </c>
      <c r="E91" s="8" t="s">
        <v>225</v>
      </c>
      <c r="F91" s="8" t="s">
        <v>30</v>
      </c>
      <c r="G91" s="8" t="s">
        <v>31</v>
      </c>
      <c r="H91" s="8" t="s">
        <v>32</v>
      </c>
      <c r="I91" s="8" t="s">
        <v>39</v>
      </c>
      <c r="J91" s="8" t="s">
        <v>226</v>
      </c>
      <c r="K91" s="8" t="s">
        <v>227</v>
      </c>
      <c r="L91" s="8" t="s">
        <v>31</v>
      </c>
      <c r="M91" s="8">
        <v>355200</v>
      </c>
      <c r="N91" s="8">
        <v>35200</v>
      </c>
      <c r="O91" s="8">
        <v>0</v>
      </c>
      <c r="P91" s="8" t="s">
        <v>36</v>
      </c>
      <c r="Q91" s="8" t="s">
        <v>27</v>
      </c>
      <c r="R91" s="8" t="str">
        <f>VLOOKUP(B91,[1]Sheet2!$B$2:$D$91,3,FALSE)</f>
        <v>25</v>
      </c>
    </row>
    <row r="92" spans="1:18" ht="15.75" customHeight="1" x14ac:dyDescent="0.2"/>
    <row r="93" spans="1:18" ht="15.75" customHeight="1" x14ac:dyDescent="0.2"/>
    <row r="94" spans="1:18" ht="15.75" customHeight="1" x14ac:dyDescent="0.2"/>
    <row r="95" spans="1:18" ht="15.75" customHeight="1" x14ac:dyDescent="0.2"/>
    <row r="96" spans="1:18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Invoice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yudhiit</cp:lastModifiedBy>
  <dcterms:modified xsi:type="dcterms:W3CDTF">2025-11-14T12:19:15Z</dcterms:modified>
</cp:coreProperties>
</file>